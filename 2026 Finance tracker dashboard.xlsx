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AmdRy\OneDrive\Desktop\Excel Project\"/>
    </mc:Choice>
  </mc:AlternateContent>
  <xr:revisionPtr revIDLastSave="0" documentId="13_ncr:1_{5F6B7428-D0F5-4DCD-A68E-89DF782F11A4}" xr6:coauthVersionLast="47" xr6:coauthVersionMax="47" xr10:uidLastSave="{00000000-0000-0000-0000-000000000000}"/>
  <bookViews>
    <workbookView xWindow="-120" yWindow="-120" windowWidth="20730" windowHeight="11310" xr2:uid="{6265234A-BE12-DB42-9F2F-5C569716686F}"/>
  </bookViews>
  <sheets>
    <sheet name="Dashboard" sheetId="10" r:id="rId1"/>
    <sheet name="PivotTables" sheetId="12" r:id="rId2"/>
    <sheet name="Transactions END" sheetId="1" r:id="rId3"/>
    <sheet name="Quotes" sheetId="14" state="hidden" r:id="rId4"/>
  </sheets>
  <definedNames>
    <definedName name="_xlnm._FilterDatabase" localSheetId="1" hidden="1">PivotTables!$E$116:$E$126</definedName>
    <definedName name="age">#REF!</definedName>
    <definedName name="count">#REF!</definedName>
    <definedName name="_xlnm.Extract" localSheetId="1">PivotTables!$G$113</definedName>
    <definedName name="FromArray_1">_xlfn.ANCHORARRAY(PivotTables!$E$117)</definedName>
    <definedName name="Slicer_Month">#N/A</definedName>
    <definedName name="Slicer_Subcategory">#N/A</definedName>
    <definedName name="worth">#REF!</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2" l="1"/>
  <c r="U15" i="10" s="1"/>
  <c r="H40" i="12"/>
  <c r="U13" i="10" s="1"/>
  <c r="I40" i="12"/>
  <c r="U14" i="10" s="1"/>
  <c r="F115" i="12"/>
  <c r="F114" i="12" s="1"/>
  <c r="E102" i="12"/>
  <c r="C109" i="12" s="1" a="1"/>
  <c r="C109" i="12" s="1"/>
  <c r="B1" i="14" a="1"/>
  <c r="B1" i="14" s="1"/>
  <c r="G3" i="12"/>
  <c r="E103" i="12"/>
  <c r="U5" i="10" s="1" a="1"/>
  <c r="U5" i="10" s="1"/>
  <c r="E104" i="12"/>
  <c r="C110" i="12" s="1" a="1"/>
  <c r="C110" i="12" s="1"/>
  <c r="H86" i="12"/>
  <c r="V18" i="10" s="1"/>
  <c r="H70" i="12" a="1"/>
  <c r="H70" i="12" s="1"/>
  <c r="V21" i="10" s="1"/>
  <c r="G70" i="12" a="1"/>
  <c r="G70" i="12" s="1"/>
  <c r="U22" i="10" s="1"/>
  <c r="H69" i="12" a="1"/>
  <c r="H69" i="12" s="1"/>
  <c r="V20" i="10" s="1"/>
  <c r="G69" i="12" a="1"/>
  <c r="G69" i="12" s="1"/>
  <c r="U21" i="10" s="1"/>
  <c r="H56" i="12"/>
  <c r="V24" i="10" s="1"/>
  <c r="G56" i="12"/>
  <c r="U25" i="10" s="1"/>
  <c r="H55" i="12"/>
  <c r="V23" i="10" s="1"/>
  <c r="G55" i="12"/>
  <c r="U24" i="10" s="1"/>
  <c r="G86" i="12"/>
  <c r="U19" i="10" s="1"/>
  <c r="G85" i="12"/>
  <c r="U18" i="10" s="1"/>
  <c r="H85" i="12"/>
  <c r="V17" i="10" s="1"/>
  <c r="C16" i="12"/>
  <c r="D16" i="12" s="1"/>
  <c r="E35" i="12"/>
  <c r="F35" i="12" s="1"/>
  <c r="F33" i="12"/>
  <c r="E33" i="12"/>
  <c r="E32" i="12"/>
  <c r="F32" i="12"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C217" i="1"/>
  <c r="C216" i="1"/>
  <c r="C215" i="1"/>
  <c r="C26" i="12"/>
  <c r="D26" i="12" s="1"/>
  <c r="E26" i="12" s="1"/>
  <c r="D27" i="12"/>
  <c r="C27" i="12"/>
  <c r="C28" i="12" s="1"/>
  <c r="C91" i="1"/>
  <c r="C80" i="1"/>
  <c r="C69" i="1"/>
  <c r="C68" i="1"/>
  <c r="C48" i="1"/>
  <c r="D24" i="12"/>
  <c r="U3" i="10"/>
  <c r="U1" i="10"/>
  <c r="V2" i="10"/>
  <c r="D23" i="12"/>
  <c r="V3" i="10"/>
  <c r="U2" i="10"/>
  <c r="V1" i="10"/>
  <c r="U6" i="10" l="1" a="1"/>
  <c r="U6" i="10" s="1"/>
  <c r="U7" i="10" a="1"/>
  <c r="U7" i="10" s="1"/>
  <c r="C108" i="12" a="1"/>
  <c r="C108" i="12" s="1"/>
  <c r="U9" i="10"/>
  <c r="G115" i="12"/>
  <c r="U10" i="10" s="1"/>
  <c r="H115" i="12"/>
  <c r="C55" i="1"/>
  <c r="C44" i="1"/>
  <c r="C67" i="1"/>
  <c r="C65" i="1"/>
  <c r="C54" i="1"/>
  <c r="C214" i="1"/>
  <c r="C202" i="1"/>
  <c r="C213" i="1"/>
  <c r="C212" i="1"/>
  <c r="C211" i="1"/>
  <c r="C210" i="1"/>
  <c r="C209" i="1"/>
  <c r="C208" i="1"/>
  <c r="C207" i="1"/>
  <c r="C206" i="1"/>
  <c r="C205" i="1"/>
  <c r="C201" i="1"/>
  <c r="C200" i="1"/>
  <c r="C199" i="1"/>
  <c r="C198" i="1"/>
  <c r="C197" i="1"/>
  <c r="C196" i="1"/>
  <c r="C195" i="1"/>
  <c r="C194" i="1"/>
  <c r="C180" i="1"/>
  <c r="C191" i="1"/>
  <c r="C190" i="1"/>
  <c r="C189" i="1"/>
  <c r="C188" i="1"/>
  <c r="C187" i="1"/>
  <c r="C186" i="1"/>
  <c r="C185" i="1"/>
  <c r="C184" i="1"/>
  <c r="C183" i="1"/>
  <c r="C179" i="1"/>
  <c r="C178" i="1"/>
  <c r="C177" i="1"/>
  <c r="C176" i="1"/>
  <c r="C175" i="1"/>
  <c r="C174" i="1"/>
  <c r="C173" i="1"/>
  <c r="C172" i="1"/>
  <c r="C169" i="1"/>
  <c r="C168" i="1"/>
  <c r="C167" i="1"/>
  <c r="C166" i="1"/>
  <c r="C165" i="1"/>
  <c r="C164" i="1"/>
  <c r="C163" i="1"/>
  <c r="C162" i="1"/>
  <c r="C161" i="1"/>
  <c r="C158" i="1"/>
  <c r="C157" i="1"/>
  <c r="C156" i="1"/>
  <c r="C155" i="1"/>
  <c r="C154" i="1"/>
  <c r="C153" i="1"/>
  <c r="C152" i="1"/>
  <c r="C151" i="1"/>
  <c r="C116" i="1"/>
  <c r="C148" i="1"/>
  <c r="C147" i="1"/>
  <c r="C146" i="1"/>
  <c r="C145" i="1"/>
  <c r="C144" i="1"/>
  <c r="C143" i="1"/>
  <c r="C142" i="1"/>
  <c r="C141" i="1"/>
  <c r="C140" i="1"/>
  <c r="C137" i="1"/>
  <c r="C136" i="1"/>
  <c r="C135" i="1"/>
  <c r="C134" i="1"/>
  <c r="C133" i="1"/>
  <c r="C132" i="1"/>
  <c r="C131" i="1"/>
  <c r="C130" i="1"/>
  <c r="C127" i="1"/>
  <c r="C126" i="1"/>
  <c r="C125" i="1"/>
  <c r="C124" i="1"/>
  <c r="C123" i="1"/>
  <c r="C122" i="1"/>
  <c r="C121" i="1"/>
  <c r="C120" i="1"/>
  <c r="C119" i="1"/>
  <c r="C115" i="1"/>
  <c r="C114" i="1"/>
  <c r="C113" i="1"/>
  <c r="C112" i="1"/>
  <c r="C111" i="1"/>
  <c r="C110" i="1"/>
  <c r="C109" i="1"/>
  <c r="C108" i="1"/>
  <c r="C103" i="1"/>
  <c r="C105" i="1"/>
  <c r="C93" i="1"/>
  <c r="C92" i="1"/>
  <c r="C89" i="1"/>
  <c r="C73" i="1"/>
  <c r="C43" i="1"/>
  <c r="C84" i="1"/>
  <c r="C85" i="1"/>
  <c r="C86" i="1"/>
  <c r="C87" i="1"/>
  <c r="C88" i="1"/>
  <c r="C90" i="1"/>
  <c r="C94" i="1"/>
  <c r="C95" i="1"/>
  <c r="C70" i="1"/>
  <c r="C53" i="1"/>
  <c r="C42" i="1"/>
  <c r="C66" i="1"/>
  <c r="C40" i="1"/>
  <c r="C50" i="1"/>
  <c r="C41" i="1"/>
  <c r="C39" i="1"/>
  <c r="C17" i="1"/>
  <c r="C30" i="1"/>
  <c r="C29" i="1"/>
  <c r="C16" i="1"/>
  <c r="C15" i="1"/>
  <c r="C13" i="1"/>
  <c r="C204" i="1"/>
  <c r="C203" i="1"/>
  <c r="C193" i="1"/>
  <c r="C192" i="1"/>
  <c r="C28" i="1"/>
  <c r="C182" i="1"/>
  <c r="C181" i="1"/>
  <c r="C171" i="1"/>
  <c r="C170" i="1"/>
  <c r="C160" i="1"/>
  <c r="C159" i="1"/>
  <c r="C150" i="1"/>
  <c r="C149" i="1"/>
  <c r="C139" i="1"/>
  <c r="C138" i="1"/>
  <c r="C129" i="1"/>
  <c r="C128" i="1"/>
  <c r="C118" i="1"/>
  <c r="C117" i="1"/>
  <c r="C107" i="1"/>
  <c r="C106" i="1"/>
  <c r="C104" i="1"/>
  <c r="C102" i="1"/>
  <c r="C101" i="1"/>
  <c r="C100" i="1"/>
  <c r="C99" i="1"/>
  <c r="C98" i="1"/>
  <c r="C97" i="1"/>
  <c r="C96" i="1"/>
  <c r="C83" i="1"/>
  <c r="C82" i="1"/>
  <c r="C81" i="1"/>
  <c r="C79" i="1"/>
  <c r="C78" i="1"/>
  <c r="C77" i="1"/>
  <c r="C76" i="1"/>
  <c r="C75" i="1"/>
  <c r="C74" i="1"/>
  <c r="C72" i="1"/>
  <c r="C71" i="1"/>
  <c r="C64" i="1"/>
  <c r="C63" i="1"/>
  <c r="C62" i="1"/>
  <c r="C61" i="1"/>
  <c r="C60" i="1"/>
  <c r="C59" i="1"/>
  <c r="C58" i="1"/>
  <c r="C57" i="1"/>
  <c r="C51" i="1"/>
  <c r="C52" i="1"/>
  <c r="C56" i="1"/>
  <c r="C49" i="1"/>
  <c r="C47" i="1"/>
  <c r="C46" i="1"/>
  <c r="C45" i="1"/>
  <c r="C38" i="1"/>
  <c r="C37" i="1"/>
  <c r="C36" i="1"/>
  <c r="C35" i="1"/>
  <c r="C34" i="1"/>
  <c r="C33" i="1"/>
  <c r="C32" i="1"/>
  <c r="C31" i="1"/>
  <c r="C12" i="1"/>
  <c r="C27" i="1"/>
  <c r="C26" i="1"/>
  <c r="C25" i="1"/>
  <c r="C24" i="1"/>
  <c r="C23" i="1"/>
  <c r="C22" i="1"/>
  <c r="C21" i="1"/>
  <c r="C20" i="1"/>
  <c r="C19" i="1"/>
  <c r="C18" i="1"/>
  <c r="C14" i="1"/>
  <c r="C11" i="1"/>
  <c r="C10" i="1"/>
  <c r="C9" i="1"/>
  <c r="C8" i="1"/>
  <c r="C7" i="1"/>
  <c r="C6" i="1"/>
  <c r="C3" i="1"/>
  <c r="C4" i="1"/>
  <c r="C5" i="1"/>
  <c r="I115" i="12" l="1"/>
  <c r="U11"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Career Principles</author>
    <author>Dave Joshua Virtudazo</author>
  </authors>
  <commentList>
    <comment ref="K10" authorId="0" shapeId="0" xr:uid="{2AA44945-E374-4C63-B289-744CFBCCB02B}">
      <text>
        <r>
          <rPr>
            <b/>
            <sz val="9"/>
            <color indexed="81"/>
            <rFont val="Tahoma"/>
            <family val="2"/>
          </rPr>
          <t>Career Principles:</t>
        </r>
        <r>
          <rPr>
            <sz val="9"/>
            <color indexed="81"/>
            <rFont val="Tahoma"/>
            <family val="2"/>
          </rPr>
          <t xml:space="preserve">
Groceries not included</t>
        </r>
      </text>
    </comment>
    <comment ref="F13" authorId="1" shapeId="0" xr:uid="{B0FA6ED2-6F4F-4BCA-84E7-2B7B8548F973}">
      <text>
        <r>
          <rPr>
            <b/>
            <sz val="9"/>
            <color indexed="81"/>
            <rFont val="Tahoma"/>
            <family val="2"/>
          </rPr>
          <t>Dave Joshua Virtudazo:</t>
        </r>
        <r>
          <rPr>
            <sz val="9"/>
            <color indexed="81"/>
            <rFont val="Tahoma"/>
            <family val="2"/>
          </rPr>
          <t xml:space="preserve">
1500 projector
970 parcel
200 lalamove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A431B8-BA76-44A5-AED5-A431DE9D9514}" keepAlive="1" name="Query - today" description="Connection to the 'today' query in the workbook." type="5" refreshedVersion="0" background="1">
    <dbPr connection="Provider=Microsoft.Mashup.OleDb.1;Data Source=$Workbook$;Location=today;Extended Properties=&quot;&quot;" command="SELECT * FROM [toda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<sst xmlns="http://schemas.openxmlformats.org/spreadsheetml/2006/main" count="668" uniqueCount="144">
  <si>
    <t>Date</t>
  </si>
  <si>
    <t>Month</t>
  </si>
  <si>
    <t>Amount</t>
  </si>
  <si>
    <t>Expense</t>
  </si>
  <si>
    <t>Utilities</t>
  </si>
  <si>
    <t>Groceries</t>
  </si>
  <si>
    <t>Entertainment</t>
  </si>
  <si>
    <t>Income</t>
  </si>
  <si>
    <t>Interest / Dividends</t>
  </si>
  <si>
    <t>Rent / Mortgage</t>
  </si>
  <si>
    <t>Property Tax</t>
  </si>
  <si>
    <t>Medical Expenses</t>
  </si>
  <si>
    <t>Supplements</t>
  </si>
  <si>
    <t>Car Payment</t>
  </si>
  <si>
    <t>Fuel</t>
  </si>
  <si>
    <t>Public Transport</t>
  </si>
  <si>
    <t>Household Goods</t>
  </si>
  <si>
    <t>Eating Out</t>
  </si>
  <si>
    <t>Travel</t>
  </si>
  <si>
    <t>Taxis &amp; Other</t>
  </si>
  <si>
    <t>Gifts / Other</t>
  </si>
  <si>
    <t>Other Expenses</t>
  </si>
  <si>
    <t>Type</t>
  </si>
  <si>
    <t>Monthly salary</t>
  </si>
  <si>
    <t>Description
(optional)</t>
  </si>
  <si>
    <t>Dave Salary</t>
  </si>
  <si>
    <t>Cath Salary</t>
  </si>
  <si>
    <t>Internet</t>
  </si>
  <si>
    <t>Milk</t>
  </si>
  <si>
    <t>for March payment</t>
  </si>
  <si>
    <t>Water</t>
  </si>
  <si>
    <t>Loan</t>
  </si>
  <si>
    <t>Atome</t>
  </si>
  <si>
    <t>Food</t>
  </si>
  <si>
    <t>Yhella</t>
  </si>
  <si>
    <t>mama</t>
  </si>
  <si>
    <t>ate for april</t>
  </si>
  <si>
    <t>food</t>
  </si>
  <si>
    <t>Diaper</t>
  </si>
  <si>
    <t>Kuryente</t>
  </si>
  <si>
    <t>Ate</t>
  </si>
  <si>
    <t>Cath transpo</t>
  </si>
  <si>
    <t>Mama</t>
  </si>
  <si>
    <t>Gas</t>
  </si>
  <si>
    <t>Parcel and lalamove and Proj.</t>
  </si>
  <si>
    <t>unkown</t>
  </si>
  <si>
    <t>House</t>
  </si>
  <si>
    <t>Toiletries</t>
  </si>
  <si>
    <t>For April payment</t>
  </si>
  <si>
    <t>Updated payment</t>
  </si>
  <si>
    <t>cath pamasahe sa trece</t>
  </si>
  <si>
    <t>Macey bday</t>
  </si>
  <si>
    <t>School</t>
  </si>
  <si>
    <t>Cath pamasahe sa trece</t>
  </si>
  <si>
    <t>Health</t>
  </si>
  <si>
    <t>Admission</t>
  </si>
  <si>
    <t>Ate Feb balance</t>
  </si>
  <si>
    <t>Car Maintenance</t>
  </si>
  <si>
    <t>Clarisse</t>
  </si>
  <si>
    <t>Car update</t>
  </si>
  <si>
    <t>Austin bday</t>
  </si>
  <si>
    <t>Cath bday</t>
  </si>
  <si>
    <t>Dec</t>
  </si>
  <si>
    <t>Apr</t>
  </si>
  <si>
    <t>May</t>
  </si>
  <si>
    <t>Jun</t>
  </si>
  <si>
    <t>Jul</t>
  </si>
  <si>
    <t>Aug</t>
  </si>
  <si>
    <t>Sep</t>
  </si>
  <si>
    <t>Oct</t>
  </si>
  <si>
    <t>Nov</t>
  </si>
  <si>
    <t>Christmas</t>
  </si>
  <si>
    <t>New year</t>
  </si>
  <si>
    <t>Credit Card</t>
  </si>
  <si>
    <t>Atome Cash</t>
  </si>
  <si>
    <t>Atome Credit</t>
  </si>
  <si>
    <t>UB Credit</t>
  </si>
  <si>
    <t>Row Labels</t>
  </si>
  <si>
    <t>Grand Total</t>
  </si>
  <si>
    <t>Sum of Amount</t>
  </si>
  <si>
    <t>Column Labels</t>
  </si>
  <si>
    <t>Category</t>
  </si>
  <si>
    <t>Cash Flow</t>
  </si>
  <si>
    <t>Balance</t>
  </si>
  <si>
    <t>Percent</t>
  </si>
  <si>
    <t>Jan</t>
  </si>
  <si>
    <t>Subcategory</t>
  </si>
  <si>
    <t>Sub Type</t>
  </si>
  <si>
    <t>Needs</t>
  </si>
  <si>
    <t>Wants</t>
  </si>
  <si>
    <t>Salary</t>
  </si>
  <si>
    <t>Additional</t>
  </si>
  <si>
    <t>Financial Priority</t>
  </si>
  <si>
    <t>Count of Subcategory</t>
  </si>
  <si>
    <t>Max Income</t>
  </si>
  <si>
    <t>Max Expense</t>
  </si>
  <si>
    <t>Min Income</t>
  </si>
  <si>
    <t>Min Expense</t>
  </si>
  <si>
    <t>Average Income</t>
  </si>
  <si>
    <t>Average Expense</t>
  </si>
  <si>
    <t>Actual</t>
  </si>
  <si>
    <t>Sum of Actual</t>
  </si>
  <si>
    <t>Difference</t>
  </si>
  <si>
    <t>Note:</t>
  </si>
  <si>
    <t>Financial Priorities</t>
  </si>
  <si>
    <t>Savings</t>
  </si>
  <si>
    <t>(All)</t>
  </si>
  <si>
    <t>)</t>
  </si>
  <si>
    <t>"Do the best you can until you know better. Then when you know better, do better." — Maya Angelou, Poet &amp; Author</t>
  </si>
  <si>
    <t>"We must be impatient for change. Let us remember that our voice is a precious gift and we must use it." — Claudia Flores, Clinical Professor of Law at Yale Law School</t>
  </si>
  <si>
    <t>"The only way you really see change, is by helping create it." — Lena Waithe, Emmy Award-Winning Writer &amp; Producer</t>
  </si>
  <si>
    <t>"Do not allow people to dim your shine because they are blinded. Tell them to put on some sunglasses, because we were born this way." — Lady Gaga</t>
  </si>
  <si>
    <t>"Purpose is the essential element of you. It is the reason you are on the planet at this particular time in history." — Chadwick Boseman, Actor &amp; Activist</t>
  </si>
  <si>
    <t>"The most difficult thing is the decision to act, the rest is merely tenacity." — Amelia Earhart, Aviation Pioneer</t>
  </si>
  <si>
    <t>"Ditch the dream and be a doer, not a dreamer." — Shonda Rhimes, Television Producer &amp; Writer</t>
  </si>
  <si>
    <t>"Start where you are. Use what you have. Do what you can." — Arthur Ashe, Tennis Champion &amp; Activist</t>
  </si>
  <si>
    <t>"What you do makes a difference, and you have to decide what kind of difference you want to make." — Jane Goodall, Primatologist &amp; Conservationist</t>
  </si>
  <si>
    <t>"You have to write the book that wants to be written. And if the book will be too difficult for grown-ups, then you write it for children." — Madeleine L'Engle, Author</t>
  </si>
  <si>
    <t>"Courage is found in unlikely places." — Gildor Inglorion (character from The Lord of the Rings by J.R.R. Tolkien)</t>
  </si>
  <si>
    <t>"The most important step a person can take is always the next one." — Dalinar Kholin (character from The Stormlight Archive by Brandon Sanderson)</t>
  </si>
  <si>
    <t>"When I dare to be powerful, to use my strength in the service of my vision, then it becomes less and less important whether I am afraid." — Audre Lorde, Poet &amp; Civil Rights Activist</t>
  </si>
  <si>
    <t>"A journey of a thousand li begins at one's feet." — Lao Tzu (Laozi), Ancient Chinese Philosopher</t>
  </si>
  <si>
    <t>"The most effective way to do it, is to do it." — Amelia Earhart, Aviation Pioneer</t>
  </si>
  <si>
    <t>"Just keep swimming." — Dory (character from Finding Nemo)</t>
  </si>
  <si>
    <t>"If you see someone without a smile, give them yours." — Attributed to Dolly Parton</t>
  </si>
  <si>
    <t>"All grown-ups were once children—though few of them remember it." — Antoine de Saint-Exupéry, Author of The Little Prince</t>
  </si>
  <si>
    <t>"Never doubt that a small group of thoughtful, committed citizens can change the world; indeed, it's the only thing that ever has." — Widely attributed to Margaret Mead</t>
  </si>
  <si>
    <t>"Darkness cannot drive out darkness: only light can do that. Hate cannot drive out hate: only love can do that." — Martin Luther King Jr.</t>
  </si>
  <si>
    <t>"'Hope' is the thing with feathers — That perches in the soul." — Emily Dickinson</t>
  </si>
  <si>
    <t>"I am the master of my fate: I am the captain of my soul." — William Ernest Henley, Victorian Poet</t>
  </si>
  <si>
    <t>"Some people are worth melting for." — Olaf (character from Frozen)</t>
  </si>
  <si>
    <t>"If they don't give you a seat at the table, bring a folding chair." — Shirley Chisholm, First Black Woman Elected to U.S. Congress</t>
  </si>
  <si>
    <t>"One child, one teacher, one book and one pen can change the world." — Malala Yousafzai, Education Activist &amp; Nobel Peace Prize Laureate</t>
  </si>
  <si>
    <t>"Do or do not. There is no try." — Yoda (character from Star Wars)</t>
  </si>
  <si>
    <t>"With great power comes great responsibility." — Uncle Ben (character from Spider-Man)</t>
  </si>
  <si>
    <t>"All we have to decide is what to do with the time that is given us." — Gandalf (character from The Lord of the Rings by J.R.R. Tolkien)</t>
  </si>
  <si>
    <t>"You're braver than you believe, stronger than you seem, and smarter than you think." — Christopher Robin (character from Pooh's Grand Adventure)</t>
  </si>
  <si>
    <t>Amount of Cash Flows by Month</t>
  </si>
  <si>
    <t>Total Income/Expenses</t>
  </si>
  <si>
    <t>Percentage by SubCategory</t>
  </si>
  <si>
    <t>Total by Category</t>
  </si>
  <si>
    <t>Min Amount of Income/Expenses</t>
  </si>
  <si>
    <t>Average Amount of Income/Expenses</t>
  </si>
  <si>
    <t>Max Amount of Income/Expenses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</si>
</sst>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K"/>
    <numFmt numFmtId="166" formatCode="0.000"/>
    <numFmt numFmtId="167" formatCode="\(###.0,\K\)"/>
  </numFmts>
  <fonts count="11">
    <font>
      <sz val="12"/>
      <color theme="1"/>
      <name val="Aptos Narrow"/>
      <family val="2"/>
      <scheme val="minor"/>
    </font>
    <font>
      <b/>
      <sz val="12"/>
      <color theme="1"/>
      <name val="Aptos Narrow"/>
      <family val="2"/>
      <scheme val="minor"/>
    </font>
    <font>
      <sz val="12"/>
      <color theme="1"/>
      <name val="Aptos Narrow"/>
      <family val="2"/>
      <scheme val="minor"/>
    </font>
    <font>
      <b/>
      <sz val="12"/>
      <color theme="0"/>
      <name val="Aptos Narrow"/>
      <family val="2"/>
      <scheme val="minor"/>
    </font>
    <font>
      <sz val="9"/>
      <color indexed="81"/>
      <name val="Tahoma"/>
      <family val="2"/>
    </font>
    <font>
      <b/>
      <sz val="9"/>
      <color indexed="81"/>
      <name val="Tahoma"/>
      <family val="2"/>
    </font>
    <font>
      <u/>
      <sz val="12"/>
      <color theme="10"/>
      <name val="Aptos Narrow"/>
      <family val="2"/>
      <scheme val="minor"/>
    </font>
    <font>
      <sz val="12"/>
      <color rgb="FFFF0000"/>
      <name val="Aptos Narrow"/>
      <family val="2"/>
      <scheme val="minor"/>
    </font>
    <font>
      <sz val="10"/>
      <color theme="1"/>
      <name val="Arial Unicode MS"/>
    </font>
    <font>
      <sz val="8"/>
      <color rgb="FF2CB6F4"/>
      <name val="Aptos Narrow"/>
      <family val="2"/>
      <scheme val="minor"/>
    </font>
    <font>
      <b/>
      <sz val="12"/>
      <color theme="2"/>
      <name val="Aptos Narrow"/>
      <family val="2"/>
      <scheme val="minor"/>
    </font>
  </fonts>
  <fills count="7">
    <fill>
      <patternFill patternType="none"/>
    </fill>
    <fill>
      <patternFill patternType="gray125"/>
    </fill>
    <fill>
      <patternFill patternType="solid">
        <fgColor rgb="FF073673"/>
        <bgColor indexed="64"/>
      </patternFill>
    </fill>
    <fill>
      <patternFill patternType="solid">
        <fgColor rgb="FFE26C6C"/>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0D112C"/>
        <bgColor indexed="64"/>
      </patternFill>
    </fill>
  </fills>
  <borders count="3">
    <border>
      <left/>
      <right/>
      <top/>
      <bottom/>
      <diagonal/>
    </border>
    <border>
      <left style="thin">
        <color theme="4" tint="0.39997558519241921"/>
      </left>
      <right/>
      <top/>
      <bottom/>
      <diagonal/>
    </border>
    <border>
      <left/>
      <right style="thin">
        <color theme="4" tint="0.39997558519241921"/>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52">
    <xf numFmtId="0" fontId="0" fillId="0" borderId="0" xfId="0"/>
    <xf numFmtId="0" fontId="0" fillId="0" borderId="0" xfId="0" applyAlignment="1">
      <alignment horizontal="center" vertical="center"/>
    </xf>
    <xf numFmtId="0" fontId="0" fillId="0" borderId="0" xfId="0" applyAlignment="1">
      <alignment horizontal="center"/>
    </xf>
    <xf numFmtId="3" fontId="0" fillId="0" borderId="0" xfId="0" applyNumberFormat="1" applyAlignment="1">
      <alignment horizontal="center"/>
    </xf>
    <xf numFmtId="0" fontId="3" fillId="2" borderId="1" xfId="0" applyFont="1" applyFill="1" applyBorder="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14" fontId="0" fillId="0" borderId="0" xfId="0" applyNumberFormat="1"/>
    <xf numFmtId="14" fontId="0" fillId="3" borderId="0" xfId="0" applyNumberFormat="1" applyFill="1"/>
    <xf numFmtId="0" fontId="0" fillId="3" borderId="0" xfId="0" applyFill="1" applyAlignment="1">
      <alignment horizontal="center"/>
    </xf>
    <xf numFmtId="3" fontId="0" fillId="3" borderId="0" xfId="0" applyNumberFormat="1" applyFill="1" applyAlignment="1">
      <alignment horizontal="center"/>
    </xf>
    <xf numFmtId="0" fontId="0" fillId="3" borderId="0" xfId="0" applyFill="1"/>
    <xf numFmtId="0" fontId="3" fillId="2" borderId="2" xfId="0" applyFont="1" applyFill="1" applyBorder="1" applyAlignment="1">
      <alignment horizontal="center" vertical="center"/>
    </xf>
    <xf numFmtId="0" fontId="1" fillId="0" borderId="0" xfId="0" applyFont="1"/>
    <xf numFmtId="16" fontId="0" fillId="0" borderId="0" xfId="0" applyNumberFormat="1" applyAlignment="1">
      <alignment horizontal="center" vertical="center"/>
    </xf>
    <xf numFmtId="14" fontId="0" fillId="4" borderId="0" xfId="0" applyNumberFormat="1" applyFill="1"/>
    <xf numFmtId="0" fontId="0" fillId="4" borderId="0" xfId="0" applyFill="1" applyAlignment="1">
      <alignment horizontal="center"/>
    </xf>
    <xf numFmtId="3" fontId="0" fillId="4" borderId="0" xfId="0" applyNumberFormat="1" applyFill="1" applyAlignment="1">
      <alignment horizontal="center"/>
    </xf>
    <xf numFmtId="0" fontId="0" fillId="4" borderId="0" xfId="0" applyFill="1"/>
    <xf numFmtId="14" fontId="7" fillId="0" borderId="0" xfId="0" applyNumberFormat="1" applyFont="1"/>
    <xf numFmtId="0" fontId="7" fillId="0" borderId="0" xfId="0" applyFont="1" applyAlignment="1">
      <alignment horizontal="center"/>
    </xf>
    <xf numFmtId="3" fontId="7" fillId="0" borderId="0" xfId="0" applyNumberFormat="1" applyFont="1" applyAlignment="1">
      <alignment horizontal="center"/>
    </xf>
    <xf numFmtId="0" fontId="7" fillId="0" borderId="0" xfId="0" applyFont="1"/>
    <xf numFmtId="0" fontId="1" fillId="0" borderId="0" xfId="0" applyFont="1" applyAlignment="1">
      <alignment horizontal="right"/>
    </xf>
    <xf numFmtId="14" fontId="0" fillId="5" borderId="0" xfId="0" applyNumberFormat="1" applyFill="1"/>
    <xf numFmtId="0" fontId="0" fillId="5" borderId="0" xfId="0" applyFill="1" applyAlignment="1">
      <alignment horizontal="center"/>
    </xf>
    <xf numFmtId="3" fontId="0" fillId="5" borderId="0" xfId="0" applyNumberFormat="1" applyFill="1" applyAlignment="1">
      <alignment horizontal="center"/>
    </xf>
    <xf numFmtId="0" fontId="0" fillId="5" borderId="0" xfId="0" applyFill="1"/>
    <xf numFmtId="14" fontId="7" fillId="5" borderId="0" xfId="0" applyNumberFormat="1" applyFont="1" applyFill="1"/>
    <xf numFmtId="0" fontId="7" fillId="5" borderId="0" xfId="0" applyFont="1" applyFill="1" applyAlignment="1">
      <alignment horizontal="center"/>
    </xf>
    <xf numFmtId="3" fontId="7" fillId="5" borderId="0" xfId="0" applyNumberFormat="1" applyFont="1" applyFill="1" applyAlignment="1">
      <alignment horizontal="center"/>
    </xf>
    <xf numFmtId="0" fontId="7" fillId="5" borderId="0" xfId="0" applyFont="1" applyFill="1"/>
    <xf numFmtId="0" fontId="0" fillId="0" borderId="0" xfId="0" pivotButton="1"/>
    <xf numFmtId="0" fontId="0" fillId="0" borderId="0" xfId="0" applyAlignment="1">
      <alignment horizontal="left"/>
    </xf>
    <xf numFmtId="3" fontId="0" fillId="0" borderId="0" xfId="0" applyNumberFormat="1"/>
    <xf numFmtId="0" fontId="1" fillId="0" borderId="0" xfId="0" applyFont="1" applyAlignment="1">
      <alignment horizontal="center"/>
    </xf>
    <xf numFmtId="164" fontId="0" fillId="0" borderId="0" xfId="0" applyNumberFormat="1"/>
    <xf numFmtId="2" fontId="0" fillId="0" borderId="0" xfId="0" applyNumberFormat="1"/>
    <xf numFmtId="0" fontId="1" fillId="0" borderId="0" xfId="0" applyFont="1" applyAlignment="1">
      <alignment horizontal="left"/>
    </xf>
    <xf numFmtId="164" fontId="1" fillId="0" borderId="0" xfId="0" applyNumberFormat="1" applyFont="1"/>
    <xf numFmtId="165" fontId="0" fillId="0" borderId="0" xfId="0" applyNumberFormat="1"/>
    <xf numFmtId="166" fontId="0" fillId="0" borderId="0" xfId="0" applyNumberFormat="1"/>
    <xf numFmtId="10" fontId="8" fillId="0" borderId="0" xfId="0" applyNumberFormat="1" applyFont="1" applyAlignment="1">
      <alignment vertical="center"/>
    </xf>
    <xf numFmtId="167" fontId="0" fillId="0" borderId="0" xfId="0" applyNumberFormat="1"/>
    <xf numFmtId="0" fontId="0" fillId="0" borderId="0" xfId="0" applyAlignment="1">
      <alignment wrapText="1"/>
    </xf>
    <xf numFmtId="3" fontId="0" fillId="0" borderId="0" xfId="0" applyNumberFormat="1" applyAlignment="1">
      <alignment horizontal="left"/>
    </xf>
    <xf numFmtId="10" fontId="0" fillId="0" borderId="0" xfId="0" applyNumberFormat="1"/>
    <xf numFmtId="0" fontId="9" fillId="0" borderId="0" xfId="0" applyFont="1"/>
    <xf numFmtId="0" fontId="10" fillId="0" borderId="0" xfId="0" applyFont="1"/>
    <xf numFmtId="0" fontId="0" fillId="6" borderId="0" xfId="0" applyFill="1" applyAlignment="1">
      <alignment horizontal="center"/>
    </xf>
    <xf numFmtId="0" fontId="0" fillId="0" borderId="0" xfId="0" applyNumberFormat="1"/>
  </cellXfs>
  <cellStyles count="3">
    <cellStyle name="Hyperlink 2" xfId="2" xr:uid="{50E16113-C59D-2446-8230-B0D6529DCC91}"/>
    <cellStyle name="Normal" xfId="0" builtinId="0"/>
    <cellStyle name="Normal 2 2" xfId="1" xr:uid="{325B69BD-1F4D-AD42-A65B-2A983F298DD8}"/>
  </cellStyles>
  <dxfs count="55">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numFmt numFmtId="165" formatCode="###.0,\K"/>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dxf>
    <dxf>
      <border outline="0">
        <top style="thin">
          <color theme="4" tint="0.39997558519241921"/>
        </top>
      </border>
    </dxf>
    <dxf>
      <font>
        <b val="0"/>
        <i val="0"/>
        <strike val="0"/>
        <condense val="0"/>
        <extend val="0"/>
        <outline val="0"/>
        <shadow val="0"/>
        <u val="none"/>
        <vertAlign val="baseline"/>
        <sz val="12"/>
        <color theme="1"/>
        <name val="Aptos Narrow"/>
        <family val="2"/>
        <scheme val="minor"/>
      </font>
      <alignment textRotation="0" wrapText="0" indent="0" justifyLastLine="0" shrinkToFit="0" readingOrder="0"/>
    </dxf>
    <dxf>
      <numFmt numFmtId="3" formatCode="#,##0"/>
    </dxf>
    <dxf>
      <font>
        <b val="0"/>
        <i val="0"/>
        <strike val="0"/>
        <condense val="0"/>
        <extend val="0"/>
        <outline val="0"/>
        <shadow val="0"/>
        <u val="none"/>
        <vertAlign val="baseline"/>
        <sz val="12"/>
        <color theme="1"/>
        <name val="Aptos Narrow"/>
        <family val="2"/>
        <scheme val="minor"/>
      </font>
      <numFmt numFmtId="3"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dxf>
    <dxf>
      <border outline="0">
        <top style="thin">
          <color theme="4" tint="0.39997558519241921"/>
        </top>
      </border>
    </dxf>
    <dxf>
      <font>
        <b val="0"/>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0"/>
        <name val="Aptos Narrow"/>
        <family val="2"/>
        <scheme val="minor"/>
      </font>
      <fill>
        <patternFill patternType="solid">
          <fgColor indexed="64"/>
          <bgColor rgb="FF073673"/>
        </patternFill>
      </fill>
      <alignment horizontal="center" vertical="center" textRotation="0" wrapText="0" indent="0" justifyLastLine="0" shrinkToFit="0" readingOrder="0"/>
    </dxf>
    <dxf>
      <numFmt numFmtId="165" formatCode="###.0,\K"/>
    </dxf>
    <dxf>
      <numFmt numFmtId="165" formatCode="###.0,\K"/>
    </dxf>
    <dxf>
      <font>
        <sz val="11"/>
        <color theme="1"/>
        <name val="Aptos Display"/>
        <family val="2"/>
        <scheme val="major"/>
      </font>
      <fill>
        <patternFill patternType="none">
          <bgColor auto="1"/>
        </patternFill>
      </fill>
      <border diagonalUp="0" diagonalDown="0">
        <left/>
        <right/>
        <top/>
        <bottom/>
        <vertical/>
        <horizontal/>
      </border>
    </dxf>
    <dxf>
      <fill>
        <patternFill patternType="none">
          <fgColor indexed="64"/>
          <bgColor auto="1"/>
        </patternFill>
      </fill>
      <border diagonalUp="0" diagonalDown="0">
        <left/>
        <right/>
        <top/>
        <bottom/>
        <vertical/>
        <horizontal/>
      </border>
    </dxf>
    <dxf>
      <font>
        <b val="0"/>
        <i val="0"/>
        <sz val="11"/>
        <name val="Arial"/>
        <family val="2"/>
        <scheme val="none"/>
      </font>
      <fill>
        <patternFill patternType="none">
          <bgColor auto="1"/>
        </patternFill>
      </fill>
      <border diagonalUp="0" diagonalDown="0">
        <left/>
        <right/>
        <top/>
        <bottom/>
        <vertical/>
        <horizontal/>
      </border>
    </dxf>
    <dxf>
      <font>
        <sz val="12"/>
        <name val="Aptos Display"/>
        <family val="2"/>
        <scheme val="major"/>
      </font>
      <fill>
        <patternFill>
          <bgColor rgb="FF002060"/>
        </patternFill>
      </fill>
      <border diagonalUp="0" diagonalDown="0">
        <left/>
        <right/>
        <top/>
        <bottom/>
        <vertical/>
        <horizontal/>
      </border>
    </dxf>
    <dxf>
      <font>
        <sz val="11"/>
        <color theme="0"/>
        <name val="Aptos Display"/>
        <family val="2"/>
        <scheme val="major"/>
      </font>
      <fill>
        <patternFill>
          <bgColor rgb="FF181B3A"/>
        </patternFill>
      </fill>
      <border diagonalUp="0" diagonalDown="0">
        <left/>
        <right/>
        <top/>
        <bottom/>
        <vertical/>
        <horizontal/>
      </border>
    </dxf>
    <dxf>
      <font>
        <sz val="6"/>
        <color theme="0"/>
        <name val="Aptos Narrow"/>
        <family val="2"/>
        <scheme val="minor"/>
      </font>
      <fill>
        <patternFill>
          <bgColor rgb="FF181B3A"/>
        </patternFill>
      </fill>
      <border diagonalUp="0" diagonalDown="0">
        <left/>
        <right/>
        <top/>
        <bottom/>
        <vertical/>
        <horizontal/>
      </border>
    </dxf>
    <dxf>
      <font>
        <sz val="12"/>
        <color theme="0"/>
        <name val="Aptos Display"/>
        <family val="2"/>
        <scheme val="major"/>
      </font>
      <fill>
        <patternFill>
          <bgColor rgb="FF181B3A"/>
        </patternFill>
      </fill>
      <border diagonalUp="0" diagonalDown="0">
        <left/>
        <right/>
        <top/>
        <bottom/>
        <vertical/>
        <horizontal/>
      </border>
    </dxf>
    <dxf>
      <font>
        <sz val="10"/>
        <color theme="0"/>
        <name val="Calibri"/>
        <family val="2"/>
        <scheme val="none"/>
      </font>
      <fill>
        <patternFill>
          <bgColor rgb="FF181B3A"/>
        </patternFill>
      </fill>
      <border diagonalUp="0" diagonalDown="0">
        <left/>
        <right/>
        <top/>
        <bottom/>
        <vertical/>
        <horizontal/>
      </border>
    </dxf>
    <dxf>
      <font>
        <color theme="0"/>
      </font>
      <fill>
        <patternFill>
          <fgColor rgb="FF5C27B5"/>
        </patternFill>
      </fill>
    </dxf>
    <dxf>
      <fill>
        <patternFill patternType="solid">
          <bgColor rgb="FF5C27B5"/>
        </patternFill>
      </fill>
    </dxf>
  </dxfs>
  <tableStyles count="11" defaultTableStyle="TableStyleMedium2" defaultPivotStyle="PivotStyleLight16">
    <tableStyle name="Slicer Style 1" pivot="0" table="0" count="0" xr9:uid="{70D865F7-AFD1-424C-8134-06E2C33A1522}"/>
    <tableStyle name="Slicer Style 2" pivot="0" table="0" count="1" xr9:uid="{CECA92A0-DEEB-402D-AFC5-C3A5B7DAC76C}">
      <tableStyleElement type="wholeTable" dxfId="54"/>
    </tableStyle>
    <tableStyle name="Slicer Style 3" pivot="0" table="0" count="1" xr9:uid="{EDC7A9CD-5D30-45AB-A48A-B24A670E44EC}">
      <tableStyleElement type="wholeTable" dxfId="53"/>
    </tableStyle>
    <tableStyle name="Slicer Style 4" pivot="0" table="0" count="1" xr9:uid="{0D4D8B97-CFFB-48BE-A1BA-987C97EA0660}"/>
    <tableStyle name="Slicer Style 5" pivot="0" table="0" count="3" xr9:uid="{B3FED8B0-DF78-4810-831E-AB0DF6857816}">
      <tableStyleElement type="wholeTable" dxfId="52"/>
    </tableStyle>
    <tableStyle name="Slicer Style 5 2" pivot="0" table="0" count="4" xr9:uid="{AE1F1BAD-5655-4D8D-9DF6-0C4BDEDD27C4}">
      <tableStyleElement type="wholeTable" dxfId="51"/>
    </tableStyle>
    <tableStyle name="Slicer Style 5 2 2" pivot="0" table="0" count="4" xr9:uid="{73234F5F-B354-426B-ADD5-D434AD3C381D}">
      <tableStyleElement type="wholeTable" dxfId="50"/>
    </tableStyle>
    <tableStyle name="Slicer Style 5 2 2 2" pivot="0" table="0" count="4" xr9:uid="{FDB3C514-2DCE-4F77-AEFB-3BAC53993C29}">
      <tableStyleElement type="wholeTable" dxfId="49"/>
    </tableStyle>
    <tableStyle name="Slicer Style 6" pivot="0" table="0" count="5" xr9:uid="{1CB8DB30-F3B9-463A-99B4-CC8523809C74}">
      <tableStyleElement type="wholeTable" dxfId="48"/>
    </tableStyle>
    <tableStyle name="Slicer Styles" pivot="0" table="0" count="2" xr9:uid="{DB8796D1-6A10-4D67-851D-4B5124A9641B}">
      <tableStyleElement type="wholeTable" dxfId="47"/>
    </tableStyle>
    <tableStyle name="Timeline Style 1" pivot="0" table="0" count="8" xr9:uid="{CF114B73-72F3-4BFF-A44A-44DDB7F2CFBA}">
      <tableStyleElement type="wholeTable" dxfId="46"/>
      <tableStyleElement type="headerRow" dxfId="45"/>
    </tableStyle>
  </tableStyles>
  <colors>
    <mruColors>
      <color rgb="FF2CB6F4"/>
      <color rgb="FF00CC8D"/>
      <color rgb="FFE01990"/>
      <color rgb="FF5158AF"/>
      <color rgb="FF40458C"/>
      <color rgb="FF181B3A"/>
      <color rgb="FF474D9B"/>
      <color rgb="FF2C305F"/>
      <color rgb="FF5C27B5"/>
      <color rgb="FFBB1578"/>
    </mruColors>
  </colors>
  <extLst>
    <ext xmlns:x14="http://schemas.microsoft.com/office/spreadsheetml/2009/9/main" uri="{46F421CA-312F-682f-3DD2-61675219B42D}">
      <x14:dxfs count="17">
        <dxf>
          <fill>
            <patternFill>
              <bgColor rgb="FF7030A0"/>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sz val="12"/>
            <name val="Aptos Display"/>
            <family val="2"/>
            <scheme val="major"/>
          </font>
          <fill>
            <patternFill>
              <bgColor theme="0"/>
            </patternFill>
          </fill>
          <border diagonalUp="0" diagonalDown="0">
            <left/>
            <right/>
            <top/>
            <bottom/>
            <vertical/>
            <horizontal/>
          </border>
        </dxf>
        <dxf>
          <font>
            <sz val="12"/>
            <name val="Aptos Display"/>
            <family val="2"/>
            <scheme val="major"/>
          </font>
          <fill>
            <patternFill>
              <bgColor rgb="FF7030A0"/>
            </patternFill>
          </fill>
        </dxf>
        <dxf>
          <font>
            <sz val="11"/>
            <name val="Aptos Display"/>
            <family val="2"/>
            <scheme val="major"/>
          </font>
        </dxf>
        <dxf>
          <font>
            <sz val="11"/>
            <color theme="0"/>
            <name val="Aptos Display"/>
            <family val="2"/>
            <scheme val="major"/>
          </font>
          <fill>
            <patternFill>
              <bgColor rgb="FF7030A0"/>
            </patternFill>
          </fill>
          <border diagonalUp="0" diagonalDown="0">
            <left/>
            <right/>
            <top/>
            <bottom/>
            <vertical/>
            <horizontal/>
          </border>
        </dxf>
        <dxf>
          <font>
            <sz val="11"/>
            <color theme="1"/>
            <name val="Aptos Display"/>
            <family val="2"/>
            <scheme val="major"/>
          </font>
          <fill>
            <patternFill patternType="none">
              <bgColor auto="1"/>
            </patternFill>
          </fill>
          <border diagonalUp="0" diagonalDown="0">
            <left/>
            <right/>
            <top/>
            <bottom/>
            <vertical/>
            <horizontal/>
          </border>
        </dxf>
        <dxf>
          <font>
            <sz val="6"/>
            <name val="Aptos Narrow"/>
            <family val="2"/>
            <scheme val="minor"/>
          </font>
        </dxf>
        <dxf>
          <font>
            <sz val="6"/>
            <color theme="0"/>
            <name val="Aptos Narrow"/>
            <family val="2"/>
            <scheme val="minor"/>
          </font>
          <fill>
            <patternFill>
              <bgColor rgb="FF7030A0"/>
            </patternFill>
          </fill>
          <border diagonalUp="0" diagonalDown="0">
            <left/>
            <right/>
            <top/>
            <bottom/>
            <vertical/>
            <horizontal/>
          </border>
        </dxf>
        <dxf>
          <font>
            <sz val="6"/>
            <color theme="1"/>
            <name val="Aptos Narrow"/>
            <family val="2"/>
            <scheme val="minor"/>
          </font>
          <fill>
            <patternFill patternType="none">
              <bgColor auto="1"/>
            </patternFill>
          </fill>
          <border diagonalUp="0" diagonalDown="0">
            <left/>
            <right/>
            <top/>
            <bottom/>
            <vertical/>
            <horizontal/>
          </border>
        </dxf>
        <dxf>
          <font>
            <color theme="1"/>
          </font>
          <border diagonalUp="0" diagonalDown="0">
            <left/>
            <right/>
            <top/>
            <bottom/>
            <vertical/>
            <horizontal/>
          </border>
        </dxf>
        <dxf>
          <font>
            <sz val="10"/>
            <color theme="0"/>
            <name val="Calibri"/>
            <family val="2"/>
            <scheme val="none"/>
          </font>
          <fill>
            <patternFill>
              <bgColor rgb="FF7030A0"/>
            </patternFill>
          </fill>
          <border diagonalUp="0" diagonalDown="0">
            <left/>
            <right/>
            <top/>
            <bottom/>
            <vertical/>
            <horizontal/>
          </border>
        </dxf>
        <dxf>
          <font>
            <sz val="12"/>
            <name val="Aptos Display"/>
            <family val="2"/>
            <scheme val="major"/>
          </font>
          <fill>
            <patternFill patternType="none">
              <bgColor auto="1"/>
            </patternFill>
          </fill>
          <border diagonalUp="0" diagonalDown="0">
            <left/>
            <right/>
            <top/>
            <bottom/>
            <vertical/>
            <horizontal/>
          </border>
        </dxf>
        <dxf>
          <font>
            <sz val="10"/>
            <color theme="1"/>
            <name val="Calibri"/>
            <family val="2"/>
            <scheme val="none"/>
          </font>
          <fill>
            <patternFill>
              <bgColor theme="0"/>
            </patternFill>
          </fill>
          <border diagonalUp="0" diagonalDown="0">
            <left/>
            <right/>
            <top/>
            <bottom/>
            <vertical/>
            <horizontal/>
          </border>
        </dxf>
        <dxf>
          <font>
            <sz val="10"/>
            <name val="Calibri"/>
            <family val="2"/>
            <scheme val="none"/>
          </font>
          <fill>
            <patternFill>
              <bgColor rgb="FF5C27B5"/>
            </patternFill>
          </fill>
          <border diagonalUp="0" diagonalDown="0">
            <left/>
            <right/>
            <top/>
            <bottom/>
            <vertical/>
            <horizontal/>
          </border>
        </dxf>
        <dxf>
          <fill>
            <patternFill>
              <fgColor rgb="FF5C27B5"/>
            </patternFill>
          </fill>
        </dxf>
      </x14:dxfs>
    </ext>
    <ext xmlns:x14="http://schemas.microsoft.com/office/spreadsheetml/2009/9/main" uri="{EB79DEF2-80B8-43e5-95BD-54CBDDF9020C}">
      <x14:slicerStyles defaultSlicerStyle="Slicer Style 5">
        <x14:slicerStyle name="Slicer Style 1"/>
        <x14:slicerStyle name="Slicer Style 2"/>
        <x14:slicerStyle name="Slicer Style 3"/>
        <x14:slicerStyle name="Slicer Style 4">
          <x14:slicerStyleElements>
            <x14:slicerStyleElement type="selectedItemWithData" dxfId="16"/>
          </x14:slicerStyleElements>
        </x14:slicerStyle>
        <x14:slicerStyle name="Slicer Style 5">
          <x14:slicerStyleElements>
            <x14:slicerStyleElement type="unselectedItemWithData" dxfId="15"/>
            <x14:slicerStyleElement type="selectedItemWithData" dxfId="14"/>
          </x14:slicerStyleElements>
        </x14:slicerStyle>
        <x14:slicerStyle name="Slicer Style 5 2">
          <x14:slicerStyleElements>
            <x14:slicerStyleElement type="unselectedItemWithData" dxfId="13"/>
            <x14:slicerStyleElement type="selectedItemWithData" dxfId="12"/>
            <x14:slicerStyleElement type="hoveredSelectedItemWithData" dxfId="11"/>
          </x14:slicerStyleElements>
        </x14:slicerStyle>
        <x14:slicerStyle name="Slicer Style 5 2 2">
          <x14:slicerStyleElements>
            <x14:slicerStyleElement type="unselectedItemWithData" dxfId="10"/>
            <x14:slicerStyleElement type="selectedItemWithData" dxfId="9"/>
            <x14:slicerStyleElement type="hoveredUnselectedItemWithData" dxfId="8"/>
          </x14:slicerStyleElements>
        </x14:slicerStyle>
        <x14:slicerStyle name="Slicer Style 5 2 2 2">
          <x14:slicerStyleElements>
            <x14:slicerStyleElement type="unselectedItemWithData" dxfId="7"/>
            <x14:slicerStyleElement type="selectedItemWithData" dxfId="6"/>
            <x14:slicerStyleElement type="hoveredUnselectedItemWithData" dxfId="5"/>
          </x14:slicerStyleElements>
        </x14:slicerStyle>
        <x14:slicerStyle name="Slicer Style 6">
          <x14:slicerStyleElements>
            <x14:slicerStyleElement type="unselectedItemWithData" dxfId="4"/>
            <x14:slicerStyleElement type="selectedItemWithData" dxfId="3"/>
            <x14:slicerStyleElement type="hoveredUnselectedItemWithData" dxfId="2"/>
            <x14:slicerStyleElement type="hoveredSelectedItemWithData" dxfId="1"/>
          </x14:slicerStyleElements>
        </x14:slicerStyle>
        <x14:slicerStyle name="Slicer Styles">
          <x14:slicerStyleElements>
            <x14:slicerStyleElement type="un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gradientFill degree="90">
              <stop position="0">
                <color theme="0"/>
              </stop>
              <stop position="1">
                <color rgb="FFE01990"/>
              </stop>
            </gradient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Finance tracker dashboard.xlsx]PivotTables!PTable_Main</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019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CC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CC8D"/>
          </a:solidFill>
          <a:ln>
            <a:noFill/>
          </a:ln>
          <a:effectLst/>
        </c:spPr>
        <c:dLbl>
          <c:idx val="0"/>
          <c:layout>
            <c:manualLayout>
              <c:x val="0"/>
              <c:y val="-0.37356818600317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CC8D"/>
          </a:solidFill>
          <a:ln>
            <a:noFill/>
          </a:ln>
          <a:effectLst/>
        </c:spPr>
        <c:dLbl>
          <c:idx val="0"/>
          <c:layout>
            <c:manualLayout>
              <c:x val="0"/>
              <c:y val="-0.37394697611141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CC8D"/>
          </a:solidFill>
          <a:ln>
            <a:noFill/>
          </a:ln>
          <a:effectLst/>
        </c:spPr>
        <c:dLbl>
          <c:idx val="0"/>
          <c:layout>
            <c:manualLayout>
              <c:x val="0"/>
              <c:y val="-0.37356818600317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CC8D"/>
          </a:solidFill>
          <a:ln>
            <a:noFill/>
          </a:ln>
          <a:effectLst/>
        </c:spPr>
        <c:dLbl>
          <c:idx val="0"/>
          <c:layout>
            <c:manualLayout>
              <c:x val="-1.1922625973968756E-16"/>
              <c:y val="-0.37356818600317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CC8D"/>
          </a:solidFill>
          <a:ln>
            <a:noFill/>
          </a:ln>
          <a:effectLst/>
        </c:spPr>
        <c:dLbl>
          <c:idx val="0"/>
          <c:layout>
            <c:manualLayout>
              <c:x val="0"/>
              <c:y val="-0.37394697611141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CC8D"/>
          </a:solidFill>
          <a:ln>
            <a:noFill/>
          </a:ln>
          <a:effectLst/>
        </c:spPr>
        <c:dLbl>
          <c:idx val="0"/>
          <c:layout>
            <c:manualLayout>
              <c:x val="1.1922625973968756E-16"/>
              <c:y val="-0.37394697611141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CC8D"/>
          </a:solidFill>
          <a:ln>
            <a:noFill/>
          </a:ln>
          <a:effectLst/>
        </c:spPr>
        <c:dLbl>
          <c:idx val="0"/>
          <c:layout>
            <c:manualLayout>
              <c:x val="-2.980656493492189E-17"/>
              <c:y val="-0.38457411968085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CC8D"/>
          </a:solidFill>
          <a:ln>
            <a:noFill/>
          </a:ln>
          <a:effectLst/>
        </c:spPr>
        <c:dLbl>
          <c:idx val="0"/>
          <c:layout>
            <c:manualLayout>
              <c:x val="0"/>
              <c:y val="-0.38457411968085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CC8D"/>
          </a:solidFill>
          <a:ln>
            <a:noFill/>
          </a:ln>
          <a:effectLst/>
        </c:spPr>
        <c:dLbl>
          <c:idx val="0"/>
          <c:layout>
            <c:manualLayout>
              <c:x val="0"/>
              <c:y val="-0.37004430288746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CC8D"/>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1523229765871761E-3"/>
              <c:y val="-0.37139893732637463"/>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dLbl>
          <c:idx val="0"/>
          <c:layout>
            <c:manualLayout>
              <c:x val="1.4447980071725874E-17"/>
              <c:y val="-0.37402960645481592"/>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dLbl>
          <c:idx val="0"/>
          <c:layout>
            <c:manualLayout>
              <c:x val="-3.1523229765871761E-3"/>
              <c:y val="-0.36785409851928824"/>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dLbl>
          <c:idx val="0"/>
          <c:layout>
            <c:manualLayout>
              <c:x val="0"/>
              <c:y val="-0.36456551897850292"/>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dLbl>
          <c:idx val="0"/>
          <c:layout>
            <c:manualLayout>
              <c:x val="-5.7791920286903495E-17"/>
              <c:y val="-0.36456551897850292"/>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dLbl>
          <c:idx val="0"/>
          <c:layout>
            <c:manualLayout>
              <c:x val="-3.1523229765872338E-3"/>
              <c:y val="-0.35839001104297519"/>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dLbl>
          <c:idx val="0"/>
          <c:layout>
            <c:manualLayout>
              <c:x val="0"/>
              <c:y val="-0.36456551897850292"/>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dLbl>
          <c:idx val="0"/>
          <c:layout>
            <c:manualLayout>
              <c:x val="-1.1558384057380699E-16"/>
              <c:y val="-0.36456551897850292"/>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dLbl>
          <c:idx val="0"/>
          <c:layout>
            <c:manualLayout>
              <c:x val="-3.1523229765871761E-3"/>
              <c:y val="-0.3707410269140306"/>
            </c:manualLayout>
          </c:layout>
          <c:numFmt formatCode="\(##,\K\)" sourceLinked="0"/>
          <c:spPr>
            <a:noFill/>
            <a:ln>
              <a:noFill/>
            </a:ln>
            <a:effectLst/>
          </c:spPr>
          <c:txPr>
            <a:bodyPr rot="0" spcFirstLastPara="1" vertOverflow="ellipsis" horzOverflow="clip" vert="horz" wrap="square" lIns="0" tIns="19050" rIns="38100" bIns="19050" anchor="ctr" anchorCtr="0">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00CC8D"/>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E01990"/>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0CC8D"/>
          </a:solidFill>
          <a:ln>
            <a:noFill/>
          </a:ln>
          <a:effectLst/>
        </c:spPr>
        <c:dLbl>
          <c:idx val="0"/>
          <c:layout>
            <c:manualLayout>
              <c:x val="-7.1744976618736248E-18"/>
              <c:y val="-0.36089397221343439"/>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0CC8D"/>
          </a:solidFill>
          <a:ln>
            <a:noFill/>
          </a:ln>
          <a:effectLst/>
        </c:spPr>
        <c:dLbl>
          <c:idx val="0"/>
          <c:layout>
            <c:manualLayout>
              <c:x val="3.1307260548143006E-3"/>
              <c:y val="-0.38461967035368111"/>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0CC8D"/>
          </a:solidFill>
          <a:ln>
            <a:noFill/>
          </a:ln>
          <a:effectLst/>
        </c:spPr>
        <c:dLbl>
          <c:idx val="0"/>
          <c:layout>
            <c:manualLayout>
              <c:x val="0"/>
              <c:y val="-0.37231401134930581"/>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00CC8D"/>
          </a:solidFill>
          <a:ln>
            <a:noFill/>
          </a:ln>
          <a:effectLst/>
        </c:spPr>
        <c:dLbl>
          <c:idx val="0"/>
          <c:layout>
            <c:manualLayout>
              <c:x val="-5.7395981294988998E-17"/>
              <c:y val="-0.36572999930720107"/>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0CC8D"/>
          </a:solidFill>
          <a:ln>
            <a:noFill/>
          </a:ln>
          <a:effectLst/>
        </c:spPr>
        <c:dLbl>
          <c:idx val="0"/>
          <c:layout>
            <c:manualLayout>
              <c:x val="-3.1307260548143296E-3"/>
              <c:y val="-0.35957716980501342"/>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0CC8D"/>
          </a:solidFill>
          <a:ln>
            <a:noFill/>
          </a:ln>
          <a:effectLst/>
        </c:spPr>
        <c:dLbl>
          <c:idx val="0"/>
          <c:layout>
            <c:manualLayout>
              <c:x val="0"/>
              <c:y val="-0.35957716980501342"/>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0CC8D"/>
          </a:solidFill>
          <a:ln>
            <a:noFill/>
          </a:ln>
          <a:effectLst/>
        </c:spPr>
        <c:dLbl>
          <c:idx val="0"/>
          <c:layout>
            <c:manualLayout>
              <c:x val="-3.1307260548143296E-3"/>
              <c:y val="-0.37188282880938872"/>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0CC8D"/>
          </a:solidFill>
          <a:ln>
            <a:noFill/>
          </a:ln>
          <a:effectLst/>
        </c:spPr>
        <c:dLbl>
          <c:idx val="0"/>
          <c:layout>
            <c:manualLayout>
              <c:x val="0"/>
              <c:y val="-0.36572999930720107"/>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0CC8D"/>
          </a:solidFill>
          <a:ln>
            <a:noFill/>
          </a:ln>
          <a:effectLst/>
        </c:spPr>
        <c:dLbl>
          <c:idx val="0"/>
          <c:layout>
            <c:manualLayout>
              <c:x val="1.14791962589978E-16"/>
              <c:y val="-0.36572999930720107"/>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00CC8D"/>
          </a:solidFill>
          <a:ln>
            <a:noFill/>
          </a:ln>
          <a:effectLst/>
        </c:spPr>
        <c:dLbl>
          <c:idx val="0"/>
          <c:layout>
            <c:manualLayout>
              <c:x val="0"/>
              <c:y val="-0.20381461910447177"/>
            </c:manualLayout>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PivotTables!$D$3:$D$4</c:f>
              <c:strCache>
                <c:ptCount val="1"/>
                <c:pt idx="0">
                  <c:v>Income</c:v>
                </c:pt>
              </c:strCache>
            </c:strRef>
          </c:tx>
          <c:spPr>
            <a:solidFill>
              <a:srgbClr val="00CC8D"/>
            </a:solidFill>
            <a:ln>
              <a:noFill/>
            </a:ln>
            <a:effectLst/>
          </c:spPr>
          <c:invertIfNegative val="0"/>
          <c:dPt>
            <c:idx val="0"/>
            <c:invertIfNegative val="0"/>
            <c:bubble3D val="0"/>
            <c:spPr>
              <a:solidFill>
                <a:srgbClr val="00CC8D"/>
              </a:solidFill>
              <a:ln>
                <a:noFill/>
              </a:ln>
              <a:effectLst/>
            </c:spPr>
            <c:extLst>
              <c:ext xmlns:c16="http://schemas.microsoft.com/office/drawing/2014/chart" uri="{C3380CC4-5D6E-409C-BE32-E72D297353CC}">
                <c16:uniqueId val="{00000001-A166-4ADB-9742-A78E9E3E22C0}"/>
              </c:ext>
            </c:extLst>
          </c:dPt>
          <c:dPt>
            <c:idx val="1"/>
            <c:invertIfNegative val="0"/>
            <c:bubble3D val="0"/>
            <c:spPr>
              <a:solidFill>
                <a:srgbClr val="00CC8D"/>
              </a:solidFill>
              <a:ln>
                <a:noFill/>
              </a:ln>
              <a:effectLst/>
            </c:spPr>
            <c:extLst>
              <c:ext xmlns:c16="http://schemas.microsoft.com/office/drawing/2014/chart" uri="{C3380CC4-5D6E-409C-BE32-E72D297353CC}">
                <c16:uniqueId val="{00000003-A166-4ADB-9742-A78E9E3E22C0}"/>
              </c:ext>
            </c:extLst>
          </c:dPt>
          <c:dPt>
            <c:idx val="2"/>
            <c:invertIfNegative val="0"/>
            <c:bubble3D val="0"/>
            <c:spPr>
              <a:solidFill>
                <a:srgbClr val="00CC8D"/>
              </a:solidFill>
              <a:ln>
                <a:noFill/>
              </a:ln>
              <a:effectLst/>
            </c:spPr>
            <c:extLst>
              <c:ext xmlns:c16="http://schemas.microsoft.com/office/drawing/2014/chart" uri="{C3380CC4-5D6E-409C-BE32-E72D297353CC}">
                <c16:uniqueId val="{00000005-A166-4ADB-9742-A78E9E3E22C0}"/>
              </c:ext>
            </c:extLst>
          </c:dPt>
          <c:dPt>
            <c:idx val="3"/>
            <c:invertIfNegative val="0"/>
            <c:bubble3D val="0"/>
            <c:spPr>
              <a:solidFill>
                <a:srgbClr val="00CC8D"/>
              </a:solidFill>
              <a:ln>
                <a:noFill/>
              </a:ln>
              <a:effectLst/>
            </c:spPr>
            <c:extLst>
              <c:ext xmlns:c16="http://schemas.microsoft.com/office/drawing/2014/chart" uri="{C3380CC4-5D6E-409C-BE32-E72D297353CC}">
                <c16:uniqueId val="{00000007-A166-4ADB-9742-A78E9E3E22C0}"/>
              </c:ext>
            </c:extLst>
          </c:dPt>
          <c:dPt>
            <c:idx val="4"/>
            <c:invertIfNegative val="0"/>
            <c:bubble3D val="0"/>
            <c:spPr>
              <a:solidFill>
                <a:srgbClr val="00CC8D"/>
              </a:solidFill>
              <a:ln>
                <a:noFill/>
              </a:ln>
              <a:effectLst/>
            </c:spPr>
            <c:extLst>
              <c:ext xmlns:c16="http://schemas.microsoft.com/office/drawing/2014/chart" uri="{C3380CC4-5D6E-409C-BE32-E72D297353CC}">
                <c16:uniqueId val="{00000009-A166-4ADB-9742-A78E9E3E22C0}"/>
              </c:ext>
            </c:extLst>
          </c:dPt>
          <c:dPt>
            <c:idx val="5"/>
            <c:invertIfNegative val="0"/>
            <c:bubble3D val="0"/>
            <c:spPr>
              <a:solidFill>
                <a:srgbClr val="00CC8D"/>
              </a:solidFill>
              <a:ln>
                <a:noFill/>
              </a:ln>
              <a:effectLst/>
            </c:spPr>
            <c:extLst>
              <c:ext xmlns:c16="http://schemas.microsoft.com/office/drawing/2014/chart" uri="{C3380CC4-5D6E-409C-BE32-E72D297353CC}">
                <c16:uniqueId val="{0000000B-A166-4ADB-9742-A78E9E3E22C0}"/>
              </c:ext>
            </c:extLst>
          </c:dPt>
          <c:dPt>
            <c:idx val="6"/>
            <c:invertIfNegative val="0"/>
            <c:bubble3D val="0"/>
            <c:spPr>
              <a:solidFill>
                <a:srgbClr val="00CC8D"/>
              </a:solidFill>
              <a:ln>
                <a:noFill/>
              </a:ln>
              <a:effectLst/>
            </c:spPr>
            <c:extLst>
              <c:ext xmlns:c16="http://schemas.microsoft.com/office/drawing/2014/chart" uri="{C3380CC4-5D6E-409C-BE32-E72D297353CC}">
                <c16:uniqueId val="{0000000D-A166-4ADB-9742-A78E9E3E22C0}"/>
              </c:ext>
            </c:extLst>
          </c:dPt>
          <c:dPt>
            <c:idx val="7"/>
            <c:invertIfNegative val="0"/>
            <c:bubble3D val="0"/>
            <c:spPr>
              <a:solidFill>
                <a:srgbClr val="00CC8D"/>
              </a:solidFill>
              <a:ln>
                <a:noFill/>
              </a:ln>
              <a:effectLst/>
            </c:spPr>
            <c:extLst>
              <c:ext xmlns:c16="http://schemas.microsoft.com/office/drawing/2014/chart" uri="{C3380CC4-5D6E-409C-BE32-E72D297353CC}">
                <c16:uniqueId val="{0000000F-A166-4ADB-9742-A78E9E3E22C0}"/>
              </c:ext>
            </c:extLst>
          </c:dPt>
          <c:dPt>
            <c:idx val="8"/>
            <c:invertIfNegative val="0"/>
            <c:bubble3D val="0"/>
            <c:spPr>
              <a:solidFill>
                <a:srgbClr val="00CC8D"/>
              </a:solidFill>
              <a:ln>
                <a:noFill/>
              </a:ln>
              <a:effectLst/>
            </c:spPr>
            <c:extLst>
              <c:ext xmlns:c16="http://schemas.microsoft.com/office/drawing/2014/chart" uri="{C3380CC4-5D6E-409C-BE32-E72D297353CC}">
                <c16:uniqueId val="{00000011-A166-4ADB-9742-A78E9E3E22C0}"/>
              </c:ext>
            </c:extLst>
          </c:dPt>
          <c:dPt>
            <c:idx val="9"/>
            <c:invertIfNegative val="0"/>
            <c:bubble3D val="0"/>
            <c:spPr>
              <a:solidFill>
                <a:srgbClr val="00CC8D"/>
              </a:solidFill>
              <a:ln>
                <a:noFill/>
              </a:ln>
              <a:effectLst/>
            </c:spPr>
            <c:extLst>
              <c:ext xmlns:c16="http://schemas.microsoft.com/office/drawing/2014/chart" uri="{C3380CC4-5D6E-409C-BE32-E72D297353CC}">
                <c16:uniqueId val="{00000013-A166-4ADB-9742-A78E9E3E22C0}"/>
              </c:ext>
            </c:extLst>
          </c:dPt>
          <c:dLbls>
            <c:dLbl>
              <c:idx val="0"/>
              <c:layout>
                <c:manualLayout>
                  <c:x val="-7.1744976618736248E-18"/>
                  <c:y val="-0.360893972213434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66-4ADB-9742-A78E9E3E22C0}"/>
                </c:ext>
              </c:extLst>
            </c:dLbl>
            <c:dLbl>
              <c:idx val="1"/>
              <c:layout>
                <c:manualLayout>
                  <c:x val="3.1307260548143006E-3"/>
                  <c:y val="-0.384619670353681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66-4ADB-9742-A78E9E3E22C0}"/>
                </c:ext>
              </c:extLst>
            </c:dLbl>
            <c:dLbl>
              <c:idx val="2"/>
              <c:layout>
                <c:manualLayout>
                  <c:x val="0"/>
                  <c:y val="-0.372314011349305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66-4ADB-9742-A78E9E3E22C0}"/>
                </c:ext>
              </c:extLst>
            </c:dLbl>
            <c:dLbl>
              <c:idx val="3"/>
              <c:layout>
                <c:manualLayout>
                  <c:x val="-5.7395981294988998E-17"/>
                  <c:y val="-0.365729999307201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66-4ADB-9742-A78E9E3E22C0}"/>
                </c:ext>
              </c:extLst>
            </c:dLbl>
            <c:dLbl>
              <c:idx val="4"/>
              <c:layout>
                <c:manualLayout>
                  <c:x val="-3.1307260548143296E-3"/>
                  <c:y val="-0.359577169805013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166-4ADB-9742-A78E9E3E22C0}"/>
                </c:ext>
              </c:extLst>
            </c:dLbl>
            <c:dLbl>
              <c:idx val="5"/>
              <c:layout>
                <c:manualLayout>
                  <c:x val="0"/>
                  <c:y val="-0.359577169805013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166-4ADB-9742-A78E9E3E22C0}"/>
                </c:ext>
              </c:extLst>
            </c:dLbl>
            <c:dLbl>
              <c:idx val="6"/>
              <c:layout>
                <c:manualLayout>
                  <c:x val="-3.1307260548143296E-3"/>
                  <c:y val="-0.371882828809388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166-4ADB-9742-A78E9E3E22C0}"/>
                </c:ext>
              </c:extLst>
            </c:dLbl>
            <c:dLbl>
              <c:idx val="7"/>
              <c:layout>
                <c:manualLayout>
                  <c:x val="0"/>
                  <c:y val="-0.365729999307201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166-4ADB-9742-A78E9E3E22C0}"/>
                </c:ext>
              </c:extLst>
            </c:dLbl>
            <c:dLbl>
              <c:idx val="8"/>
              <c:layout>
                <c:manualLayout>
                  <c:x val="1.14791962589978E-16"/>
                  <c:y val="-0.365729999307201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166-4ADB-9742-A78E9E3E22C0}"/>
                </c:ext>
              </c:extLst>
            </c:dLbl>
            <c:dLbl>
              <c:idx val="9"/>
              <c:layout>
                <c:manualLayout>
                  <c:x val="0"/>
                  <c:y val="-0.203814619104471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166-4ADB-9742-A78E9E3E22C0}"/>
                </c:ext>
              </c:extLst>
            </c:dLbl>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0199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PivotTables!$B$5:$B$15</c:f>
              <c:strCache>
                <c:ptCount val="10"/>
                <c:pt idx="0">
                  <c:v>Apr</c:v>
                </c:pt>
                <c:pt idx="1">
                  <c:v>May</c:v>
                </c:pt>
                <c:pt idx="2">
                  <c:v>Jun</c:v>
                </c:pt>
                <c:pt idx="3">
                  <c:v>Jul</c:v>
                </c:pt>
                <c:pt idx="4">
                  <c:v>Aug</c:v>
                </c:pt>
                <c:pt idx="5">
                  <c:v>Sep</c:v>
                </c:pt>
                <c:pt idx="6">
                  <c:v>Oct</c:v>
                </c:pt>
                <c:pt idx="7">
                  <c:v>Nov</c:v>
                </c:pt>
                <c:pt idx="8">
                  <c:v>Dec</c:v>
                </c:pt>
                <c:pt idx="9">
                  <c:v>Jan</c:v>
                </c:pt>
              </c:strCache>
            </c:strRef>
          </c:cat>
          <c:val>
            <c:numRef>
              <c:f>PivotTables!$D$5:$D$15</c:f>
              <c:numCache>
                <c:formatCode>#,##0</c:formatCode>
                <c:ptCount val="10"/>
                <c:pt idx="0">
                  <c:v>49200</c:v>
                </c:pt>
                <c:pt idx="1">
                  <c:v>50000</c:v>
                </c:pt>
                <c:pt idx="2">
                  <c:v>50000</c:v>
                </c:pt>
                <c:pt idx="3">
                  <c:v>49000</c:v>
                </c:pt>
                <c:pt idx="4">
                  <c:v>49000</c:v>
                </c:pt>
                <c:pt idx="5">
                  <c:v>49000</c:v>
                </c:pt>
                <c:pt idx="6">
                  <c:v>49000</c:v>
                </c:pt>
                <c:pt idx="7">
                  <c:v>49000</c:v>
                </c:pt>
                <c:pt idx="8">
                  <c:v>49000</c:v>
                </c:pt>
                <c:pt idx="9">
                  <c:v>23500</c:v>
                </c:pt>
              </c:numCache>
            </c:numRef>
          </c:val>
          <c:extLst>
            <c:ext xmlns:c16="http://schemas.microsoft.com/office/drawing/2014/chart" uri="{C3380CC4-5D6E-409C-BE32-E72D297353CC}">
              <c16:uniqueId val="{00000015-FF05-4A76-BA01-45B6E704FE06}"/>
            </c:ext>
          </c:extLst>
        </c:ser>
        <c:dLbls>
          <c:showLegendKey val="0"/>
          <c:showVal val="0"/>
          <c:showCatName val="0"/>
          <c:showSerName val="0"/>
          <c:showPercent val="0"/>
          <c:showBubbleSize val="0"/>
        </c:dLbls>
        <c:gapWidth val="30"/>
        <c:overlap val="100"/>
        <c:axId val="989861343"/>
        <c:axId val="989863263"/>
      </c:barChart>
      <c:barChart>
        <c:barDir val="col"/>
        <c:grouping val="stacked"/>
        <c:varyColors val="0"/>
        <c:ser>
          <c:idx val="0"/>
          <c:order val="0"/>
          <c:tx>
            <c:strRef>
              <c:f>PivotTables!$C$3:$C$4</c:f>
              <c:strCache>
                <c:ptCount val="1"/>
                <c:pt idx="0">
                  <c:v>Expense</c:v>
                </c:pt>
              </c:strCache>
            </c:strRef>
          </c:tx>
          <c:spPr>
            <a:solidFill>
              <a:srgbClr val="E01990"/>
            </a:soli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PivotTables!$B$5:$B$15</c:f>
              <c:strCache>
                <c:ptCount val="10"/>
                <c:pt idx="0">
                  <c:v>Apr</c:v>
                </c:pt>
                <c:pt idx="1">
                  <c:v>May</c:v>
                </c:pt>
                <c:pt idx="2">
                  <c:v>Jun</c:v>
                </c:pt>
                <c:pt idx="3">
                  <c:v>Jul</c:v>
                </c:pt>
                <c:pt idx="4">
                  <c:v>Aug</c:v>
                </c:pt>
                <c:pt idx="5">
                  <c:v>Sep</c:v>
                </c:pt>
                <c:pt idx="6">
                  <c:v>Oct</c:v>
                </c:pt>
                <c:pt idx="7">
                  <c:v>Nov</c:v>
                </c:pt>
                <c:pt idx="8">
                  <c:v>Dec</c:v>
                </c:pt>
                <c:pt idx="9">
                  <c:v>Jan</c:v>
                </c:pt>
              </c:strCache>
            </c:strRef>
          </c:cat>
          <c:val>
            <c:numRef>
              <c:f>PivotTables!$C$5:$C$15</c:f>
              <c:numCache>
                <c:formatCode>#,##0</c:formatCode>
                <c:ptCount val="10"/>
                <c:pt idx="0">
                  <c:v>48480</c:v>
                </c:pt>
                <c:pt idx="1">
                  <c:v>50226</c:v>
                </c:pt>
                <c:pt idx="2">
                  <c:v>44191</c:v>
                </c:pt>
                <c:pt idx="3">
                  <c:v>40959</c:v>
                </c:pt>
                <c:pt idx="4">
                  <c:v>40459</c:v>
                </c:pt>
                <c:pt idx="5">
                  <c:v>37459</c:v>
                </c:pt>
                <c:pt idx="6">
                  <c:v>37659</c:v>
                </c:pt>
                <c:pt idx="7">
                  <c:v>41459</c:v>
                </c:pt>
                <c:pt idx="8">
                  <c:v>45459</c:v>
                </c:pt>
                <c:pt idx="9">
                  <c:v>10000</c:v>
                </c:pt>
              </c:numCache>
            </c:numRef>
          </c:val>
          <c:extLst>
            <c:ext xmlns:c16="http://schemas.microsoft.com/office/drawing/2014/chart" uri="{C3380CC4-5D6E-409C-BE32-E72D297353CC}">
              <c16:uniqueId val="{0000001A-A116-4C23-8AE9-9254BEDB50A4}"/>
            </c:ext>
          </c:extLst>
        </c:ser>
        <c:dLbls>
          <c:showLegendKey val="0"/>
          <c:showVal val="0"/>
          <c:showCatName val="0"/>
          <c:showSerName val="0"/>
          <c:showPercent val="0"/>
          <c:showBubbleSize val="0"/>
        </c:dLbls>
        <c:gapWidth val="72"/>
        <c:overlap val="66"/>
        <c:axId val="990258560"/>
        <c:axId val="990253280"/>
      </c:barChart>
      <c:catAx>
        <c:axId val="989861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63263"/>
        <c:crosses val="autoZero"/>
        <c:auto val="1"/>
        <c:lblAlgn val="ctr"/>
        <c:lblOffset val="100"/>
        <c:noMultiLvlLbl val="0"/>
      </c:catAx>
      <c:valAx>
        <c:axId val="989863263"/>
        <c:scaling>
          <c:orientation val="minMax"/>
        </c:scaling>
        <c:delete val="1"/>
        <c:axPos val="l"/>
        <c:numFmt formatCode="#,##0" sourceLinked="1"/>
        <c:majorTickMark val="out"/>
        <c:minorTickMark val="none"/>
        <c:tickLblPos val="nextTo"/>
        <c:crossAx val="989861343"/>
        <c:crosses val="autoZero"/>
        <c:crossBetween val="between"/>
      </c:valAx>
      <c:valAx>
        <c:axId val="990253280"/>
        <c:scaling>
          <c:orientation val="minMax"/>
        </c:scaling>
        <c:delete val="1"/>
        <c:axPos val="r"/>
        <c:numFmt formatCode="#,##0" sourceLinked="1"/>
        <c:majorTickMark val="out"/>
        <c:minorTickMark val="none"/>
        <c:tickLblPos val="nextTo"/>
        <c:crossAx val="990258560"/>
        <c:crosses val="max"/>
        <c:crossBetween val="between"/>
      </c:valAx>
      <c:catAx>
        <c:axId val="990258560"/>
        <c:scaling>
          <c:orientation val="minMax"/>
        </c:scaling>
        <c:delete val="1"/>
        <c:axPos val="b"/>
        <c:numFmt formatCode="General" sourceLinked="1"/>
        <c:majorTickMark val="out"/>
        <c:minorTickMark val="none"/>
        <c:tickLblPos val="nextTo"/>
        <c:crossAx val="9902532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Finance tracker dashboard.xlsx]PivotTables!PTable_Main</c:name>
    <c:fmtId val="4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CB6F4"/>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2CB6F4"/>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2CB6F4"/>
            </a:solidFill>
            <a:round/>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9754302868963"/>
          <c:y val="6.2675813058283569E-2"/>
          <c:w val="0.83789531015404672"/>
          <c:h val="0.82180081922716286"/>
        </c:manualLayout>
      </c:layout>
      <c:lineChart>
        <c:grouping val="standard"/>
        <c:varyColors val="0"/>
        <c:ser>
          <c:idx val="0"/>
          <c:order val="0"/>
          <c:tx>
            <c:strRef>
              <c:f>PivotTables!$C$3:$C$4</c:f>
              <c:strCache>
                <c:ptCount val="1"/>
                <c:pt idx="0">
                  <c:v>Expense</c:v>
                </c:pt>
              </c:strCache>
            </c:strRef>
          </c:tx>
          <c:spPr>
            <a:ln w="28575" cap="rnd">
              <a:solidFill>
                <a:schemeClr val="accent1"/>
              </a:solidFill>
              <a:prstDash val="sysDot"/>
              <a:round/>
            </a:ln>
            <a:effectLst/>
          </c:spPr>
          <c:marker>
            <c:symbol val="none"/>
          </c:marker>
          <c:cat>
            <c:strRef>
              <c:f>PivotTables!$B$5:$B$15</c:f>
              <c:strCache>
                <c:ptCount val="10"/>
                <c:pt idx="0">
                  <c:v>Apr</c:v>
                </c:pt>
                <c:pt idx="1">
                  <c:v>May</c:v>
                </c:pt>
                <c:pt idx="2">
                  <c:v>Jun</c:v>
                </c:pt>
                <c:pt idx="3">
                  <c:v>Jul</c:v>
                </c:pt>
                <c:pt idx="4">
                  <c:v>Aug</c:v>
                </c:pt>
                <c:pt idx="5">
                  <c:v>Sep</c:v>
                </c:pt>
                <c:pt idx="6">
                  <c:v>Oct</c:v>
                </c:pt>
                <c:pt idx="7">
                  <c:v>Nov</c:v>
                </c:pt>
                <c:pt idx="8">
                  <c:v>Dec</c:v>
                </c:pt>
                <c:pt idx="9">
                  <c:v>Jan</c:v>
                </c:pt>
              </c:strCache>
            </c:strRef>
          </c:cat>
          <c:val>
            <c:numRef>
              <c:f>PivotTables!$C$5:$C$15</c:f>
              <c:numCache>
                <c:formatCode>#,##0</c:formatCode>
                <c:ptCount val="10"/>
                <c:pt idx="0">
                  <c:v>48480</c:v>
                </c:pt>
                <c:pt idx="1">
                  <c:v>50226</c:v>
                </c:pt>
                <c:pt idx="2">
                  <c:v>44191</c:v>
                </c:pt>
                <c:pt idx="3">
                  <c:v>40959</c:v>
                </c:pt>
                <c:pt idx="4">
                  <c:v>40459</c:v>
                </c:pt>
                <c:pt idx="5">
                  <c:v>37459</c:v>
                </c:pt>
                <c:pt idx="6">
                  <c:v>37659</c:v>
                </c:pt>
                <c:pt idx="7">
                  <c:v>41459</c:v>
                </c:pt>
                <c:pt idx="8">
                  <c:v>45459</c:v>
                </c:pt>
                <c:pt idx="9">
                  <c:v>10000</c:v>
                </c:pt>
              </c:numCache>
            </c:numRef>
          </c:val>
          <c:smooth val="0"/>
          <c:extLst>
            <c:ext xmlns:c16="http://schemas.microsoft.com/office/drawing/2014/chart" uri="{C3380CC4-5D6E-409C-BE32-E72D297353CC}">
              <c16:uniqueId val="{00000012-1865-4999-9BC1-7F098974018D}"/>
            </c:ext>
          </c:extLst>
        </c:ser>
        <c:ser>
          <c:idx val="1"/>
          <c:order val="1"/>
          <c:tx>
            <c:strRef>
              <c:f>PivotTables!$D$3:$D$4</c:f>
              <c:strCache>
                <c:ptCount val="1"/>
                <c:pt idx="0">
                  <c:v>Income</c:v>
                </c:pt>
              </c:strCache>
            </c:strRef>
          </c:tx>
          <c:spPr>
            <a:ln w="28575" cap="rnd">
              <a:solidFill>
                <a:srgbClr val="2CB6F4"/>
              </a:solidFill>
              <a:round/>
              <a:tailEnd type="oval"/>
            </a:ln>
            <a:effectLst/>
          </c:spPr>
          <c:marker>
            <c:symbol val="none"/>
          </c:marker>
          <c:cat>
            <c:strRef>
              <c:f>PivotTables!$B$5:$B$15</c:f>
              <c:strCache>
                <c:ptCount val="10"/>
                <c:pt idx="0">
                  <c:v>Apr</c:v>
                </c:pt>
                <c:pt idx="1">
                  <c:v>May</c:v>
                </c:pt>
                <c:pt idx="2">
                  <c:v>Jun</c:v>
                </c:pt>
                <c:pt idx="3">
                  <c:v>Jul</c:v>
                </c:pt>
                <c:pt idx="4">
                  <c:v>Aug</c:v>
                </c:pt>
                <c:pt idx="5">
                  <c:v>Sep</c:v>
                </c:pt>
                <c:pt idx="6">
                  <c:v>Oct</c:v>
                </c:pt>
                <c:pt idx="7">
                  <c:v>Nov</c:v>
                </c:pt>
                <c:pt idx="8">
                  <c:v>Dec</c:v>
                </c:pt>
                <c:pt idx="9">
                  <c:v>Jan</c:v>
                </c:pt>
              </c:strCache>
            </c:strRef>
          </c:cat>
          <c:val>
            <c:numRef>
              <c:f>PivotTables!$D$5:$D$15</c:f>
              <c:numCache>
                <c:formatCode>#,##0</c:formatCode>
                <c:ptCount val="10"/>
                <c:pt idx="0">
                  <c:v>49200</c:v>
                </c:pt>
                <c:pt idx="1">
                  <c:v>50000</c:v>
                </c:pt>
                <c:pt idx="2">
                  <c:v>50000</c:v>
                </c:pt>
                <c:pt idx="3">
                  <c:v>49000</c:v>
                </c:pt>
                <c:pt idx="4">
                  <c:v>49000</c:v>
                </c:pt>
                <c:pt idx="5">
                  <c:v>49000</c:v>
                </c:pt>
                <c:pt idx="6">
                  <c:v>49000</c:v>
                </c:pt>
                <c:pt idx="7">
                  <c:v>49000</c:v>
                </c:pt>
                <c:pt idx="8">
                  <c:v>49000</c:v>
                </c:pt>
                <c:pt idx="9">
                  <c:v>23500</c:v>
                </c:pt>
              </c:numCache>
            </c:numRef>
          </c:val>
          <c:smooth val="0"/>
          <c:extLst>
            <c:ext xmlns:c16="http://schemas.microsoft.com/office/drawing/2014/chart" uri="{C3380CC4-5D6E-409C-BE32-E72D297353CC}">
              <c16:uniqueId val="{00000001-8471-4C23-8BA0-48892B99FABE}"/>
            </c:ext>
          </c:extLst>
        </c:ser>
        <c:dLbls>
          <c:showLegendKey val="0"/>
          <c:showVal val="0"/>
          <c:showCatName val="0"/>
          <c:showSerName val="0"/>
          <c:showPercent val="0"/>
          <c:showBubbleSize val="0"/>
        </c:dLbls>
        <c:smooth val="0"/>
        <c:axId val="222473552"/>
        <c:axId val="222474512"/>
      </c:lineChart>
      <c:catAx>
        <c:axId val="22247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74512"/>
        <c:crosses val="autoZero"/>
        <c:auto val="1"/>
        <c:lblAlgn val="ctr"/>
        <c:lblOffset val="100"/>
        <c:noMultiLvlLbl val="0"/>
      </c:catAx>
      <c:valAx>
        <c:axId val="2224745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7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01990"/>
              </a:solidFill>
              <a:ln w="19050">
                <a:noFill/>
              </a:ln>
              <a:effectLst/>
            </c:spPr>
            <c:extLst>
              <c:ext xmlns:c16="http://schemas.microsoft.com/office/drawing/2014/chart" uri="{C3380CC4-5D6E-409C-BE32-E72D297353CC}">
                <c16:uniqueId val="{00000001-B9F1-43DF-B1BC-B45F58544628}"/>
              </c:ext>
            </c:extLst>
          </c:dPt>
          <c:dPt>
            <c:idx val="1"/>
            <c:bubble3D val="0"/>
            <c:spPr>
              <a:solidFill>
                <a:srgbClr val="2C305F"/>
              </a:solidFill>
              <a:ln w="19050">
                <a:noFill/>
              </a:ln>
              <a:effectLst/>
            </c:spPr>
            <c:extLst>
              <c:ext xmlns:c16="http://schemas.microsoft.com/office/drawing/2014/chart" uri="{C3380CC4-5D6E-409C-BE32-E72D297353CC}">
                <c16:uniqueId val="{00000003-B9F1-43DF-B1BC-B45F58544628}"/>
              </c:ext>
            </c:extLst>
          </c:dPt>
          <c:val>
            <c:numRef>
              <c:f>PivotTables!$C$27:$C$28</c:f>
              <c:numCache>
                <c:formatCode>0.00</c:formatCode>
                <c:ptCount val="2"/>
                <c:pt idx="0">
                  <c:v>0.84926290979215768</c:v>
                </c:pt>
                <c:pt idx="1">
                  <c:v>0.15073709020784232</c:v>
                </c:pt>
              </c:numCache>
            </c:numRef>
          </c:val>
          <c:extLst>
            <c:ext xmlns:c16="http://schemas.microsoft.com/office/drawing/2014/chart" uri="{C3380CC4-5D6E-409C-BE32-E72D297353CC}">
              <c16:uniqueId val="{00000004-B9F1-43DF-B1BC-B45F58544628}"/>
            </c:ext>
          </c:extLst>
        </c:ser>
        <c:dLbls>
          <c:showLegendKey val="0"/>
          <c:showVal val="0"/>
          <c:showCatName val="0"/>
          <c:showSerName val="0"/>
          <c:showPercent val="0"/>
          <c:showBubbleSize val="0"/>
          <c:showLeaderLines val="1"/>
        </c:dLbls>
        <c:firstSliceAng val="5"/>
        <c:holeSize val="8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01990"/>
              </a:solidFill>
              <a:ln w="19050">
                <a:noFill/>
              </a:ln>
              <a:effectLst/>
            </c:spPr>
            <c:extLst>
              <c:ext xmlns:c16="http://schemas.microsoft.com/office/drawing/2014/chart" uri="{C3380CC4-5D6E-409C-BE32-E72D297353CC}">
                <c16:uniqueId val="{00000001-86BB-4DFA-A2F2-170232220125}"/>
              </c:ext>
            </c:extLst>
          </c:dPt>
          <c:dPt>
            <c:idx val="1"/>
            <c:bubble3D val="0"/>
            <c:spPr>
              <a:solidFill>
                <a:srgbClr val="2C305F"/>
              </a:solidFill>
              <a:ln w="19050">
                <a:noFill/>
              </a:ln>
              <a:effectLst/>
            </c:spPr>
            <c:extLst>
              <c:ext xmlns:c16="http://schemas.microsoft.com/office/drawing/2014/chart" uri="{C3380CC4-5D6E-409C-BE32-E72D297353CC}">
                <c16:uniqueId val="{00000003-86BB-4DFA-A2F2-170232220125}"/>
              </c:ext>
            </c:extLst>
          </c:dPt>
          <c:val>
            <c:numRef>
              <c:f>PivotTables!$E$32:$F$32</c:f>
              <c:numCache>
                <c:formatCode>0.0%</c:formatCode>
                <c:ptCount val="2"/>
                <c:pt idx="0">
                  <c:v>0.38139534883720932</c:v>
                </c:pt>
                <c:pt idx="1">
                  <c:v>0.61860465116279073</c:v>
                </c:pt>
              </c:numCache>
            </c:numRef>
          </c:val>
          <c:extLst>
            <c:ext xmlns:c16="http://schemas.microsoft.com/office/drawing/2014/chart" uri="{C3380CC4-5D6E-409C-BE32-E72D297353CC}">
              <c16:uniqueId val="{00000004-86BB-4DFA-A2F2-170232220125}"/>
            </c:ext>
          </c:extLst>
        </c:ser>
        <c:dLbls>
          <c:showLegendKey val="0"/>
          <c:showVal val="0"/>
          <c:showCatName val="0"/>
          <c:showSerName val="0"/>
          <c:showPercent val="0"/>
          <c:showBubbleSize val="0"/>
          <c:showLeaderLines val="1"/>
        </c:dLbls>
        <c:firstSliceAng val="7"/>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01990"/>
              </a:solidFill>
              <a:ln w="19050">
                <a:noFill/>
              </a:ln>
              <a:effectLst/>
            </c:spPr>
            <c:extLst>
              <c:ext xmlns:c16="http://schemas.microsoft.com/office/drawing/2014/chart" uri="{C3380CC4-5D6E-409C-BE32-E72D297353CC}">
                <c16:uniqueId val="{00000001-A181-4157-877D-9C2BA8AE783C}"/>
              </c:ext>
            </c:extLst>
          </c:dPt>
          <c:dPt>
            <c:idx val="1"/>
            <c:bubble3D val="0"/>
            <c:spPr>
              <a:solidFill>
                <a:srgbClr val="2C305F"/>
              </a:solidFill>
              <a:ln w="19050">
                <a:noFill/>
              </a:ln>
              <a:effectLst/>
            </c:spPr>
            <c:extLst>
              <c:ext xmlns:c16="http://schemas.microsoft.com/office/drawing/2014/chart" uri="{C3380CC4-5D6E-409C-BE32-E72D297353CC}">
                <c16:uniqueId val="{00000003-A181-4157-877D-9C2BA8AE783C}"/>
              </c:ext>
            </c:extLst>
          </c:dPt>
          <c:val>
            <c:numRef>
              <c:f>PivotTables!$E$33:$F$33</c:f>
              <c:numCache>
                <c:formatCode>0.0%</c:formatCode>
                <c:ptCount val="2"/>
                <c:pt idx="0">
                  <c:v>0.40930232558139534</c:v>
                </c:pt>
                <c:pt idx="1">
                  <c:v>0.59069767441860466</c:v>
                </c:pt>
              </c:numCache>
            </c:numRef>
          </c:val>
          <c:extLst>
            <c:ext xmlns:c16="http://schemas.microsoft.com/office/drawing/2014/chart" uri="{C3380CC4-5D6E-409C-BE32-E72D297353CC}">
              <c16:uniqueId val="{00000004-A181-4157-877D-9C2BA8AE783C}"/>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01990"/>
              </a:solidFill>
              <a:ln w="19050">
                <a:noFill/>
              </a:ln>
              <a:effectLst/>
            </c:spPr>
            <c:extLst>
              <c:ext xmlns:c16="http://schemas.microsoft.com/office/drawing/2014/chart" uri="{C3380CC4-5D6E-409C-BE32-E72D297353CC}">
                <c16:uniqueId val="{00000001-26C2-4927-BED3-80C665ECD137}"/>
              </c:ext>
            </c:extLst>
          </c:dPt>
          <c:dPt>
            <c:idx val="1"/>
            <c:bubble3D val="0"/>
            <c:spPr>
              <a:solidFill>
                <a:srgbClr val="2C305F"/>
              </a:solidFill>
              <a:ln w="19050">
                <a:noFill/>
              </a:ln>
              <a:effectLst/>
            </c:spPr>
            <c:extLst>
              <c:ext xmlns:c16="http://schemas.microsoft.com/office/drawing/2014/chart" uri="{C3380CC4-5D6E-409C-BE32-E72D297353CC}">
                <c16:uniqueId val="{00000003-26C2-4927-BED3-80C665ECD137}"/>
              </c:ext>
            </c:extLst>
          </c:dPt>
          <c:val>
            <c:numRef>
              <c:f>PivotTables!$E$35:$F$35</c:f>
              <c:numCache>
                <c:formatCode>0.0%</c:formatCode>
                <c:ptCount val="2"/>
                <c:pt idx="0">
                  <c:v>3.255813953488372E-2</c:v>
                </c:pt>
                <c:pt idx="1">
                  <c:v>0.96744186046511627</c:v>
                </c:pt>
              </c:numCache>
            </c:numRef>
          </c:val>
          <c:extLst>
            <c:ext xmlns:c16="http://schemas.microsoft.com/office/drawing/2014/chart" uri="{C3380CC4-5D6E-409C-BE32-E72D297353CC}">
              <c16:uniqueId val="{00000004-26C2-4927-BED3-80C665ECD137}"/>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2CB6F4"/>
              </a:solidFill>
              <a:ln w="19050">
                <a:noFill/>
              </a:ln>
              <a:effectLst/>
            </c:spPr>
            <c:extLst>
              <c:ext xmlns:c16="http://schemas.microsoft.com/office/drawing/2014/chart" uri="{C3380CC4-5D6E-409C-BE32-E72D297353CC}">
                <c16:uniqueId val="{00000001-FDF1-4C9D-9212-86CE74A5D24E}"/>
              </c:ext>
            </c:extLst>
          </c:dPt>
          <c:dPt>
            <c:idx val="1"/>
            <c:bubble3D val="0"/>
            <c:spPr>
              <a:solidFill>
                <a:srgbClr val="2C305F"/>
              </a:solidFill>
              <a:ln w="19050">
                <a:noFill/>
              </a:ln>
              <a:effectLst/>
            </c:spPr>
            <c:extLst>
              <c:ext xmlns:c16="http://schemas.microsoft.com/office/drawing/2014/chart" uri="{C3380CC4-5D6E-409C-BE32-E72D297353CC}">
                <c16:uniqueId val="{00000003-FDF1-4C9D-9212-86CE74A5D24E}"/>
              </c:ext>
            </c:extLst>
          </c:dPt>
          <c:val>
            <c:numRef>
              <c:f>PivotTables!$D$26:$E$26</c:f>
              <c:numCache>
                <c:formatCode>0.0%</c:formatCode>
                <c:ptCount val="2"/>
                <c:pt idx="0">
                  <c:v>0.15073709020784229</c:v>
                </c:pt>
                <c:pt idx="1">
                  <c:v>0.84926290979215768</c:v>
                </c:pt>
              </c:numCache>
            </c:numRef>
          </c:val>
          <c:extLst>
            <c:ext xmlns:c16="http://schemas.microsoft.com/office/drawing/2014/chart" uri="{C3380CC4-5D6E-409C-BE32-E72D297353CC}">
              <c16:uniqueId val="{00000004-FDF1-4C9D-9212-86CE74A5D24E}"/>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Finance tracker dashboard.xlsx]PivotTables!PivotTable6</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27B5"/>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01990"/>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C27B5"/>
          </a:solidFill>
          <a:ln>
            <a:noFill/>
          </a:ln>
          <a:effectLst/>
        </c:spPr>
      </c:pivotFmt>
    </c:pivotFmts>
    <c:plotArea>
      <c:layout/>
      <c:barChart>
        <c:barDir val="col"/>
        <c:grouping val="clustered"/>
        <c:varyColors val="0"/>
        <c:ser>
          <c:idx val="0"/>
          <c:order val="0"/>
          <c:tx>
            <c:strRef>
              <c:f>PivotTables!$C$101</c:f>
              <c:strCache>
                <c:ptCount val="1"/>
                <c:pt idx="0">
                  <c:v>Sum of Amount</c:v>
                </c:pt>
              </c:strCache>
            </c:strRef>
          </c:tx>
          <c:spPr>
            <a:solidFill>
              <a:srgbClr val="5C27B5"/>
            </a:soli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PivotTables!$B$102:$B$105</c:f>
              <c:strCache>
                <c:ptCount val="3"/>
                <c:pt idx="0">
                  <c:v>Financial Priority</c:v>
                </c:pt>
                <c:pt idx="1">
                  <c:v>Needs</c:v>
                </c:pt>
                <c:pt idx="2">
                  <c:v>Wants</c:v>
                </c:pt>
              </c:strCache>
            </c:strRef>
          </c:cat>
          <c:val>
            <c:numRef>
              <c:f>PivotTables!$C$102:$C$105</c:f>
              <c:numCache>
                <c:formatCode>###.0,\K</c:formatCode>
                <c:ptCount val="3"/>
                <c:pt idx="0">
                  <c:v>261681</c:v>
                </c:pt>
                <c:pt idx="1">
                  <c:v>109500</c:v>
                </c:pt>
                <c:pt idx="2">
                  <c:v>25170</c:v>
                </c:pt>
              </c:numCache>
            </c:numRef>
          </c:val>
          <c:extLst>
            <c:ext xmlns:c16="http://schemas.microsoft.com/office/drawing/2014/chart" uri="{C3380CC4-5D6E-409C-BE32-E72D297353CC}">
              <c16:uniqueId val="{00000000-8E50-4574-B413-E9B2983331B6}"/>
            </c:ext>
          </c:extLst>
        </c:ser>
        <c:ser>
          <c:idx val="1"/>
          <c:order val="1"/>
          <c:tx>
            <c:strRef>
              <c:f>PivotTables!$D$101</c:f>
              <c:strCache>
                <c:ptCount val="1"/>
                <c:pt idx="0">
                  <c:v>Sum of Actual</c:v>
                </c:pt>
              </c:strCache>
            </c:strRef>
          </c:tx>
          <c:spPr>
            <a:solidFill>
              <a:srgbClr val="E01990"/>
            </a:soli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PivotTables!$B$102:$B$105</c:f>
              <c:strCache>
                <c:ptCount val="3"/>
                <c:pt idx="0">
                  <c:v>Financial Priority</c:v>
                </c:pt>
                <c:pt idx="1">
                  <c:v>Needs</c:v>
                </c:pt>
                <c:pt idx="2">
                  <c:v>Wants</c:v>
                </c:pt>
              </c:strCache>
            </c:strRef>
          </c:cat>
          <c:val>
            <c:numRef>
              <c:f>PivotTables!$D$102:$D$105</c:f>
              <c:numCache>
                <c:formatCode>###.0,\K</c:formatCode>
                <c:ptCount val="3"/>
                <c:pt idx="0">
                  <c:v>260331</c:v>
                </c:pt>
                <c:pt idx="1">
                  <c:v>109289</c:v>
                </c:pt>
                <c:pt idx="2">
                  <c:v>26670</c:v>
                </c:pt>
              </c:numCache>
            </c:numRef>
          </c:val>
          <c:extLst>
            <c:ext xmlns:c16="http://schemas.microsoft.com/office/drawing/2014/chart" uri="{C3380CC4-5D6E-409C-BE32-E72D297353CC}">
              <c16:uniqueId val="{00000001-8E50-4574-B413-E9B2983331B6}"/>
            </c:ext>
          </c:extLst>
        </c:ser>
        <c:dLbls>
          <c:dLblPos val="outEnd"/>
          <c:showLegendKey val="0"/>
          <c:showVal val="1"/>
          <c:showCatName val="0"/>
          <c:showSerName val="0"/>
          <c:showPercent val="0"/>
          <c:showBubbleSize val="0"/>
        </c:dLbls>
        <c:gapWidth val="109"/>
        <c:overlap val="-40"/>
        <c:axId val="704907599"/>
        <c:axId val="704911439"/>
      </c:barChart>
      <c:catAx>
        <c:axId val="70490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704911439"/>
        <c:crosses val="autoZero"/>
        <c:auto val="1"/>
        <c:lblAlgn val="ctr"/>
        <c:lblOffset val="100"/>
        <c:noMultiLvlLbl val="0"/>
      </c:catAx>
      <c:valAx>
        <c:axId val="704911439"/>
        <c:scaling>
          <c:orientation val="minMax"/>
        </c:scaling>
        <c:delete val="1"/>
        <c:axPos val="l"/>
        <c:numFmt formatCode="###.0,\K" sourceLinked="1"/>
        <c:majorTickMark val="none"/>
        <c:minorTickMark val="none"/>
        <c:tickLblPos val="nextTo"/>
        <c:crossAx val="70490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Finance tracker dashboard.xlsx]PivotTables!PivotTable3</c:name>
    <c:fmtId val="28"/>
  </c:pivotSource>
  <c:chart>
    <c:autoTitleDeleted val="1"/>
    <c:pivotFmts>
      <c:pivotFmt>
        <c:idx val="0"/>
        <c:spPr>
          <a:solidFill>
            <a:srgbClr val="E01990"/>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01990"/>
          </a:solidFill>
          <a:ln>
            <a:noFill/>
          </a:ln>
          <a:effectLst/>
        </c:spPr>
      </c:pivotFmt>
      <c:pivotFmt>
        <c:idx val="2"/>
        <c:spPr>
          <a:solidFill>
            <a:srgbClr val="E01990"/>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01990"/>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PivotTables!$C$40</c:f>
              <c:strCache>
                <c:ptCount val="1"/>
                <c:pt idx="0">
                  <c:v>Total</c:v>
                </c:pt>
              </c:strCache>
            </c:strRef>
          </c:tx>
          <c:spPr>
            <a:solidFill>
              <a:srgbClr val="E01990"/>
            </a:solidFill>
            <a:ln>
              <a:noFill/>
            </a:ln>
            <a:effectLst/>
          </c:spPr>
          <c:invertIfNegative val="1"/>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PivotTables!$B$41:$B$51</c:f>
              <c:strCache>
                <c:ptCount val="10"/>
                <c:pt idx="0">
                  <c:v>Car Maintenance</c:v>
                </c:pt>
                <c:pt idx="1">
                  <c:v>School</c:v>
                </c:pt>
                <c:pt idx="2">
                  <c:v>Fuel</c:v>
                </c:pt>
                <c:pt idx="3">
                  <c:v>Public Transport</c:v>
                </c:pt>
                <c:pt idx="4">
                  <c:v>Other Expenses</c:v>
                </c:pt>
                <c:pt idx="5">
                  <c:v>Utilities</c:v>
                </c:pt>
                <c:pt idx="6">
                  <c:v>Loan</c:v>
                </c:pt>
                <c:pt idx="7">
                  <c:v>Car Payment</c:v>
                </c:pt>
                <c:pt idx="8">
                  <c:v>Groceries</c:v>
                </c:pt>
                <c:pt idx="9">
                  <c:v>Rent / Mortgage</c:v>
                </c:pt>
              </c:strCache>
            </c:strRef>
          </c:cat>
          <c:val>
            <c:numRef>
              <c:f>PivotTables!$C$41:$C$51</c:f>
              <c:numCache>
                <c:formatCode>#,##0</c:formatCode>
                <c:ptCount val="10"/>
                <c:pt idx="0">
                  <c:v>6000</c:v>
                </c:pt>
                <c:pt idx="1">
                  <c:v>7500</c:v>
                </c:pt>
                <c:pt idx="2">
                  <c:v>10000</c:v>
                </c:pt>
                <c:pt idx="3">
                  <c:v>10500</c:v>
                </c:pt>
                <c:pt idx="4">
                  <c:v>25170</c:v>
                </c:pt>
                <c:pt idx="5">
                  <c:v>28963</c:v>
                </c:pt>
                <c:pt idx="6">
                  <c:v>59168</c:v>
                </c:pt>
                <c:pt idx="7">
                  <c:v>74550</c:v>
                </c:pt>
                <c:pt idx="8">
                  <c:v>81500</c:v>
                </c:pt>
                <c:pt idx="9">
                  <c:v>93000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2400-4333-9D89-FC8B6F511B4A}"/>
            </c:ext>
          </c:extLst>
        </c:ser>
        <c:dLbls>
          <c:dLblPos val="outEnd"/>
          <c:showLegendKey val="0"/>
          <c:showVal val="1"/>
          <c:showCatName val="0"/>
          <c:showSerName val="0"/>
          <c:showPercent val="0"/>
          <c:showBubbleSize val="0"/>
        </c:dLbls>
        <c:gapWidth val="182"/>
        <c:axId val="951428528"/>
        <c:axId val="951431888"/>
      </c:barChart>
      <c:catAx>
        <c:axId val="951428528"/>
        <c:scaling>
          <c:orientation val="minMax"/>
        </c:scaling>
        <c:delete val="0"/>
        <c:axPos val="l"/>
        <c:numFmt formatCode="\(##,&quot;K)&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951431888"/>
        <c:crosses val="autoZero"/>
        <c:auto val="1"/>
        <c:lblAlgn val="ctr"/>
        <c:lblOffset val="100"/>
        <c:noMultiLvlLbl val="0"/>
      </c:catAx>
      <c:valAx>
        <c:axId val="951431888"/>
        <c:scaling>
          <c:orientation val="minMax"/>
        </c:scaling>
        <c:delete val="1"/>
        <c:axPos val="b"/>
        <c:numFmt formatCode="#,##0" sourceLinked="1"/>
        <c:majorTickMark val="none"/>
        <c:minorTickMark val="none"/>
        <c:tickLblPos val="nextTo"/>
        <c:crossAx val="95142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6.xml"/><Relationship Id="rId18" Type="http://schemas.openxmlformats.org/officeDocument/2006/relationships/image" Target="../media/image11.svg"/><Relationship Id="rId3" Type="http://schemas.openxmlformats.org/officeDocument/2006/relationships/image" Target="../media/image1.png"/><Relationship Id="rId21" Type="http://schemas.openxmlformats.org/officeDocument/2006/relationships/image" Target="../media/image14.png"/><Relationship Id="rId7" Type="http://schemas.openxmlformats.org/officeDocument/2006/relationships/image" Target="../media/image5.png"/><Relationship Id="rId12" Type="http://schemas.openxmlformats.org/officeDocument/2006/relationships/chart" Target="../charts/chart5.xml"/><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4.xml"/><Relationship Id="rId24" Type="http://schemas.openxmlformats.org/officeDocument/2006/relationships/chart" Target="../charts/chart9.xml"/><Relationship Id="rId5" Type="http://schemas.openxmlformats.org/officeDocument/2006/relationships/image" Target="../media/image3.png"/><Relationship Id="rId15" Type="http://schemas.openxmlformats.org/officeDocument/2006/relationships/image" Target="../media/image8.png"/><Relationship Id="rId23" Type="http://schemas.openxmlformats.org/officeDocument/2006/relationships/chart" Target="../charts/chart8.xml"/><Relationship Id="rId10" Type="http://schemas.openxmlformats.org/officeDocument/2006/relationships/chart" Target="../charts/chart3.xml"/><Relationship Id="rId19" Type="http://schemas.openxmlformats.org/officeDocument/2006/relationships/image" Target="../media/image12.pn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7.xml"/><Relationship Id="rId22"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18</xdr:col>
      <xdr:colOff>571500</xdr:colOff>
      <xdr:row>3</xdr:row>
      <xdr:rowOff>171450</xdr:rowOff>
    </xdr:to>
    <xdr:sp macro="" textlink="">
      <xdr:nvSpPr>
        <xdr:cNvPr id="2" name="Rectangle: Rounded Corners 1">
          <a:extLst>
            <a:ext uri="{FF2B5EF4-FFF2-40B4-BE49-F238E27FC236}">
              <a16:creationId xmlns:a16="http://schemas.microsoft.com/office/drawing/2014/main" id="{01E95460-BC74-0F00-144C-41756BAB85E3}"/>
            </a:ext>
          </a:extLst>
        </xdr:cNvPr>
        <xdr:cNvSpPr/>
      </xdr:nvSpPr>
      <xdr:spPr>
        <a:xfrm>
          <a:off x="85725" y="85725"/>
          <a:ext cx="14234905" cy="682073"/>
        </a:xfrm>
        <a:prstGeom prst="roundRect">
          <a:avLst>
            <a:gd name="adj" fmla="val 5292"/>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85046</xdr:colOff>
      <xdr:row>4</xdr:row>
      <xdr:rowOff>8165</xdr:rowOff>
    </xdr:from>
    <xdr:to>
      <xdr:col>2</xdr:col>
      <xdr:colOff>653143</xdr:colOff>
      <xdr:row>9</xdr:row>
      <xdr:rowOff>95250</xdr:rowOff>
    </xdr:to>
    <xdr:sp macro="" textlink="">
      <xdr:nvSpPr>
        <xdr:cNvPr id="4" name="Rectangle: Rounded Corners 3">
          <a:extLst>
            <a:ext uri="{FF2B5EF4-FFF2-40B4-BE49-F238E27FC236}">
              <a16:creationId xmlns:a16="http://schemas.microsoft.com/office/drawing/2014/main" id="{1FDACEE8-EE5B-49B9-94CB-93A0B0633B8A}"/>
            </a:ext>
          </a:extLst>
        </xdr:cNvPr>
        <xdr:cNvSpPr/>
      </xdr:nvSpPr>
      <xdr:spPr>
        <a:xfrm>
          <a:off x="85046" y="817790"/>
          <a:ext cx="1937316" cy="1099116"/>
        </a:xfrm>
        <a:prstGeom prst="roundRect">
          <a:avLst>
            <a:gd name="adj" fmla="val 3333"/>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10965</xdr:colOff>
      <xdr:row>4</xdr:row>
      <xdr:rowOff>13138</xdr:rowOff>
    </xdr:from>
    <xdr:to>
      <xdr:col>9</xdr:col>
      <xdr:colOff>79000</xdr:colOff>
      <xdr:row>20</xdr:row>
      <xdr:rowOff>19050</xdr:rowOff>
    </xdr:to>
    <xdr:sp macro="" textlink="">
      <xdr:nvSpPr>
        <xdr:cNvPr id="6" name="Rectangle: Rounded Corners 5">
          <a:extLst>
            <a:ext uri="{FF2B5EF4-FFF2-40B4-BE49-F238E27FC236}">
              <a16:creationId xmlns:a16="http://schemas.microsoft.com/office/drawing/2014/main" id="{A8718F2C-89DF-4E70-8A12-5CCB7A967CA4}"/>
            </a:ext>
          </a:extLst>
        </xdr:cNvPr>
        <xdr:cNvSpPr/>
      </xdr:nvSpPr>
      <xdr:spPr>
        <a:xfrm>
          <a:off x="2068365" y="818681"/>
          <a:ext cx="4182835" cy="3228083"/>
        </a:xfrm>
        <a:prstGeom prst="roundRect">
          <a:avLst>
            <a:gd name="adj" fmla="val 919"/>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122623</xdr:colOff>
      <xdr:row>4</xdr:row>
      <xdr:rowOff>16752</xdr:rowOff>
    </xdr:from>
    <xdr:to>
      <xdr:col>12</xdr:col>
      <xdr:colOff>238774</xdr:colOff>
      <xdr:row>20</xdr:row>
      <xdr:rowOff>18112</xdr:rowOff>
    </xdr:to>
    <xdr:sp macro="" textlink="">
      <xdr:nvSpPr>
        <xdr:cNvPr id="14" name="Rectangle: Rounded Corners 13">
          <a:extLst>
            <a:ext uri="{FF2B5EF4-FFF2-40B4-BE49-F238E27FC236}">
              <a16:creationId xmlns:a16="http://schemas.microsoft.com/office/drawing/2014/main" id="{56427085-E9D8-45BC-B340-9086B868C522}"/>
            </a:ext>
          </a:extLst>
        </xdr:cNvPr>
        <xdr:cNvSpPr/>
      </xdr:nvSpPr>
      <xdr:spPr>
        <a:xfrm>
          <a:off x="6333312" y="833181"/>
          <a:ext cx="2186380" cy="3267074"/>
        </a:xfrm>
        <a:prstGeom prst="roundRect">
          <a:avLst>
            <a:gd name="adj" fmla="val 919"/>
          </a:avLst>
        </a:prstGeom>
        <a:gradFill flip="none" rotWithShape="1">
          <a:gsLst>
            <a:gs pos="56000">
              <a:srgbClr val="292D5E"/>
            </a:gs>
            <a:gs pos="0">
              <a:srgbClr val="181B3A"/>
            </a:gs>
            <a:gs pos="100000">
              <a:srgbClr val="40458C"/>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120541</xdr:colOff>
      <xdr:row>20</xdr:row>
      <xdr:rowOff>66675</xdr:rowOff>
    </xdr:from>
    <xdr:to>
      <xdr:col>12</xdr:col>
      <xdr:colOff>252590</xdr:colOff>
      <xdr:row>32</xdr:row>
      <xdr:rowOff>122464</xdr:rowOff>
    </xdr:to>
    <xdr:sp macro="" textlink="">
      <xdr:nvSpPr>
        <xdr:cNvPr id="15" name="Rectangle: Rounded Corners 14">
          <a:extLst>
            <a:ext uri="{FF2B5EF4-FFF2-40B4-BE49-F238E27FC236}">
              <a16:creationId xmlns:a16="http://schemas.microsoft.com/office/drawing/2014/main" id="{D82AF6CB-A4E5-44B1-8A47-D0C709274895}"/>
            </a:ext>
          </a:extLst>
        </xdr:cNvPr>
        <xdr:cNvSpPr/>
      </xdr:nvSpPr>
      <xdr:spPr>
        <a:xfrm>
          <a:off x="6269093" y="4008054"/>
          <a:ext cx="2181566" cy="2420617"/>
        </a:xfrm>
        <a:prstGeom prst="roundRect">
          <a:avLst>
            <a:gd name="adj" fmla="val 919"/>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19393</xdr:colOff>
      <xdr:row>20</xdr:row>
      <xdr:rowOff>66675</xdr:rowOff>
    </xdr:from>
    <xdr:to>
      <xdr:col>9</xdr:col>
      <xdr:colOff>67165</xdr:colOff>
      <xdr:row>32</xdr:row>
      <xdr:rowOff>127279</xdr:rowOff>
    </xdr:to>
    <xdr:sp macro="" textlink="">
      <xdr:nvSpPr>
        <xdr:cNvPr id="16" name="Rectangle: Rounded Corners 15">
          <a:extLst>
            <a:ext uri="{FF2B5EF4-FFF2-40B4-BE49-F238E27FC236}">
              <a16:creationId xmlns:a16="http://schemas.microsoft.com/office/drawing/2014/main" id="{818D4A8C-2B5E-4262-89D3-15BCEC12B57E}"/>
            </a:ext>
          </a:extLst>
        </xdr:cNvPr>
        <xdr:cNvSpPr/>
      </xdr:nvSpPr>
      <xdr:spPr>
        <a:xfrm>
          <a:off x="2068910" y="4008054"/>
          <a:ext cx="4146807" cy="2425432"/>
        </a:xfrm>
        <a:prstGeom prst="roundRect">
          <a:avLst>
            <a:gd name="adj" fmla="val 919"/>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95362</xdr:colOff>
      <xdr:row>20</xdr:row>
      <xdr:rowOff>78480</xdr:rowOff>
    </xdr:from>
    <xdr:to>
      <xdr:col>2</xdr:col>
      <xdr:colOff>656510</xdr:colOff>
      <xdr:row>32</xdr:row>
      <xdr:rowOff>124810</xdr:rowOff>
    </xdr:to>
    <xdr:sp macro="" textlink="">
      <xdr:nvSpPr>
        <xdr:cNvPr id="17" name="Rectangle: Rounded Corners 16">
          <a:extLst>
            <a:ext uri="{FF2B5EF4-FFF2-40B4-BE49-F238E27FC236}">
              <a16:creationId xmlns:a16="http://schemas.microsoft.com/office/drawing/2014/main" id="{511E0B45-D6AA-447A-8B31-249C504BBB64}"/>
            </a:ext>
          </a:extLst>
        </xdr:cNvPr>
        <xdr:cNvSpPr/>
      </xdr:nvSpPr>
      <xdr:spPr>
        <a:xfrm>
          <a:off x="95362" y="4019859"/>
          <a:ext cx="1927493" cy="2411158"/>
        </a:xfrm>
        <a:prstGeom prst="roundRect">
          <a:avLst>
            <a:gd name="adj" fmla="val 919"/>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85045</xdr:colOff>
      <xdr:row>9</xdr:row>
      <xdr:rowOff>145104</xdr:rowOff>
    </xdr:from>
    <xdr:to>
      <xdr:col>2</xdr:col>
      <xdr:colOff>656895</xdr:colOff>
      <xdr:row>20</xdr:row>
      <xdr:rowOff>28627</xdr:rowOff>
    </xdr:to>
    <xdr:sp macro="" textlink="">
      <xdr:nvSpPr>
        <xdr:cNvPr id="18" name="Rectangle: Rounded Corners 17">
          <a:extLst>
            <a:ext uri="{FF2B5EF4-FFF2-40B4-BE49-F238E27FC236}">
              <a16:creationId xmlns:a16="http://schemas.microsoft.com/office/drawing/2014/main" id="{A7887C50-18C8-4CBC-88C8-AC5EDF00FF12}"/>
            </a:ext>
          </a:extLst>
        </xdr:cNvPr>
        <xdr:cNvSpPr/>
      </xdr:nvSpPr>
      <xdr:spPr>
        <a:xfrm>
          <a:off x="85045" y="1957575"/>
          <a:ext cx="1943450" cy="2098766"/>
        </a:xfrm>
        <a:prstGeom prst="roundRect">
          <a:avLst>
            <a:gd name="adj" fmla="val 1299"/>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282396</xdr:colOff>
      <xdr:row>4</xdr:row>
      <xdr:rowOff>19867</xdr:rowOff>
    </xdr:from>
    <xdr:to>
      <xdr:col>14</xdr:col>
      <xdr:colOff>653008</xdr:colOff>
      <xdr:row>13</xdr:row>
      <xdr:rowOff>52420</xdr:rowOff>
    </xdr:to>
    <xdr:sp macro="" textlink="">
      <xdr:nvSpPr>
        <xdr:cNvPr id="19" name="Rectangle: Rounded Corners 18">
          <a:extLst>
            <a:ext uri="{FF2B5EF4-FFF2-40B4-BE49-F238E27FC236}">
              <a16:creationId xmlns:a16="http://schemas.microsoft.com/office/drawing/2014/main" id="{A759FF7A-856D-4F8C-A786-27423CBF0826}"/>
            </a:ext>
          </a:extLst>
        </xdr:cNvPr>
        <xdr:cNvSpPr/>
      </xdr:nvSpPr>
      <xdr:spPr>
        <a:xfrm>
          <a:off x="8480465" y="808143"/>
          <a:ext cx="1736957" cy="1806174"/>
        </a:xfrm>
        <a:prstGeom prst="roundRect">
          <a:avLst>
            <a:gd name="adj" fmla="val 919"/>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4262</xdr:colOff>
      <xdr:row>4</xdr:row>
      <xdr:rowOff>18799</xdr:rowOff>
    </xdr:from>
    <xdr:to>
      <xdr:col>18</xdr:col>
      <xdr:colOff>578537</xdr:colOff>
      <xdr:row>13</xdr:row>
      <xdr:rowOff>53489</xdr:rowOff>
    </xdr:to>
    <xdr:sp macro="" textlink="">
      <xdr:nvSpPr>
        <xdr:cNvPr id="21" name="Rectangle: Rounded Corners 20">
          <a:extLst>
            <a:ext uri="{FF2B5EF4-FFF2-40B4-BE49-F238E27FC236}">
              <a16:creationId xmlns:a16="http://schemas.microsoft.com/office/drawing/2014/main" id="{6FD1FB95-C528-448A-BD64-56C2A4A5418A}"/>
            </a:ext>
          </a:extLst>
        </xdr:cNvPr>
        <xdr:cNvSpPr/>
      </xdr:nvSpPr>
      <xdr:spPr>
        <a:xfrm>
          <a:off x="10335224" y="810107"/>
          <a:ext cx="2640467" cy="1815132"/>
        </a:xfrm>
        <a:prstGeom prst="roundRect">
          <a:avLst>
            <a:gd name="adj" fmla="val 919"/>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303554</xdr:colOff>
      <xdr:row>13</xdr:row>
      <xdr:rowOff>108857</xdr:rowOff>
    </xdr:from>
    <xdr:to>
      <xdr:col>18</xdr:col>
      <xdr:colOff>589359</xdr:colOff>
      <xdr:row>32</xdr:row>
      <xdr:rowOff>122463</xdr:rowOff>
    </xdr:to>
    <xdr:sp macro="" textlink="">
      <xdr:nvSpPr>
        <xdr:cNvPr id="22" name="Rectangle: Rounded Corners 21">
          <a:extLst>
            <a:ext uri="{FF2B5EF4-FFF2-40B4-BE49-F238E27FC236}">
              <a16:creationId xmlns:a16="http://schemas.microsoft.com/office/drawing/2014/main" id="{3E49C343-E981-4C7D-BED2-DD4181FCB58A}"/>
            </a:ext>
          </a:extLst>
        </xdr:cNvPr>
        <xdr:cNvSpPr/>
      </xdr:nvSpPr>
      <xdr:spPr>
        <a:xfrm>
          <a:off x="8584472" y="2762250"/>
          <a:ext cx="4426265" cy="3891642"/>
        </a:xfrm>
        <a:prstGeom prst="roundRect">
          <a:avLst>
            <a:gd name="adj" fmla="val 581"/>
          </a:avLst>
        </a:prstGeom>
        <a:solidFill>
          <a:srgbClr val="181B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74543</xdr:colOff>
      <xdr:row>22</xdr:row>
      <xdr:rowOff>27413</xdr:rowOff>
    </xdr:from>
    <xdr:to>
      <xdr:col>9</xdr:col>
      <xdr:colOff>4283</xdr:colOff>
      <xdr:row>32</xdr:row>
      <xdr:rowOff>114396</xdr:rowOff>
    </xdr:to>
    <xdr:graphicFrame macro="">
      <xdr:nvGraphicFramePr>
        <xdr:cNvPr id="24" name="Chart 23">
          <a:extLst>
            <a:ext uri="{FF2B5EF4-FFF2-40B4-BE49-F238E27FC236}">
              <a16:creationId xmlns:a16="http://schemas.microsoft.com/office/drawing/2014/main" id="{4DE3DD23-47B6-47E2-911B-571C345DA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210078</xdr:colOff>
      <xdr:row>20</xdr:row>
      <xdr:rowOff>104775</xdr:rowOff>
    </xdr:from>
    <xdr:to>
      <xdr:col>6</xdr:col>
      <xdr:colOff>76343</xdr:colOff>
      <xdr:row>22</xdr:row>
      <xdr:rowOff>153088</xdr:rowOff>
    </xdr:to>
    <xdr:sp macro="" textlink="">
      <xdr:nvSpPr>
        <xdr:cNvPr id="25" name="TextBox 24">
          <a:extLst>
            <a:ext uri="{FF2B5EF4-FFF2-40B4-BE49-F238E27FC236}">
              <a16:creationId xmlns:a16="http://schemas.microsoft.com/office/drawing/2014/main" id="{E77E62AA-1911-8505-BF91-07AD1D3C60A6}"/>
            </a:ext>
          </a:extLst>
        </xdr:cNvPr>
        <xdr:cNvSpPr txBox="1"/>
      </xdr:nvSpPr>
      <xdr:spPr>
        <a:xfrm>
          <a:off x="2267478" y="4105275"/>
          <a:ext cx="1923665" cy="448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Breakdown and</a:t>
          </a:r>
          <a:r>
            <a:rPr lang="en-US" sz="1100" baseline="0">
              <a:solidFill>
                <a:schemeClr val="bg1"/>
              </a:solidFill>
            </a:rPr>
            <a:t> Comparison of Monthly </a:t>
          </a:r>
          <a:r>
            <a:rPr lang="en-US" sz="1100" baseline="0">
              <a:solidFill>
                <a:srgbClr val="00CC8D"/>
              </a:solidFill>
            </a:rPr>
            <a:t>Income</a:t>
          </a:r>
          <a:r>
            <a:rPr lang="en-US" sz="1100" baseline="0">
              <a:solidFill>
                <a:schemeClr val="bg1"/>
              </a:solidFill>
            </a:rPr>
            <a:t> and </a:t>
          </a:r>
          <a:r>
            <a:rPr lang="en-US" sz="1100" baseline="0">
              <a:solidFill>
                <a:srgbClr val="E01990"/>
              </a:solidFill>
            </a:rPr>
            <a:t>Expenses</a:t>
          </a:r>
          <a:endParaRPr lang="en-US" sz="1100">
            <a:solidFill>
              <a:srgbClr val="E01990"/>
            </a:solidFill>
          </a:endParaRPr>
        </a:p>
      </xdr:txBody>
    </xdr:sp>
    <xdr:clientData/>
  </xdr:twoCellAnchor>
  <xdr:twoCellAnchor>
    <xdr:from>
      <xdr:col>3</xdr:col>
      <xdr:colOff>109903</xdr:colOff>
      <xdr:row>4</xdr:row>
      <xdr:rowOff>66675</xdr:rowOff>
    </xdr:from>
    <xdr:to>
      <xdr:col>9</xdr:col>
      <xdr:colOff>36634</xdr:colOff>
      <xdr:row>19</xdr:row>
      <xdr:rowOff>96181</xdr:rowOff>
    </xdr:to>
    <xdr:grpSp>
      <xdr:nvGrpSpPr>
        <xdr:cNvPr id="100" name="Group 99">
          <a:extLst>
            <a:ext uri="{FF2B5EF4-FFF2-40B4-BE49-F238E27FC236}">
              <a16:creationId xmlns:a16="http://schemas.microsoft.com/office/drawing/2014/main" id="{796CB285-3A14-0BAE-6105-C8EE9B89F7B2}"/>
            </a:ext>
          </a:extLst>
        </xdr:cNvPr>
        <xdr:cNvGrpSpPr/>
      </xdr:nvGrpSpPr>
      <xdr:grpSpPr>
        <a:xfrm>
          <a:off x="2180133" y="883104"/>
          <a:ext cx="4067190" cy="3091113"/>
          <a:chOff x="2167303" y="872218"/>
          <a:chExt cx="4041531" cy="3050292"/>
        </a:xfrm>
      </xdr:grpSpPr>
      <xdr:graphicFrame macro="">
        <xdr:nvGraphicFramePr>
          <xdr:cNvPr id="7" name="Chart 6">
            <a:extLst>
              <a:ext uri="{FF2B5EF4-FFF2-40B4-BE49-F238E27FC236}">
                <a16:creationId xmlns:a16="http://schemas.microsoft.com/office/drawing/2014/main" id="{C0434C80-6F88-4E89-A6CD-4009ACDDB8C4}"/>
              </a:ext>
            </a:extLst>
          </xdr:cNvPr>
          <xdr:cNvGraphicFramePr>
            <a:graphicFrameLocks/>
          </xdr:cNvGraphicFramePr>
        </xdr:nvGraphicFramePr>
        <xdr:xfrm>
          <a:off x="2234838" y="1448245"/>
          <a:ext cx="3973996" cy="247426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72E59642-3070-4878-9598-4707B468FC1D}"/>
              </a:ext>
            </a:extLst>
          </xdr:cNvPr>
          <xdr:cNvSpPr txBox="1"/>
        </xdr:nvSpPr>
        <xdr:spPr>
          <a:xfrm>
            <a:off x="2167303" y="872218"/>
            <a:ext cx="3963865" cy="654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b="0">
                <a:solidFill>
                  <a:srgbClr val="2CB6F4"/>
                </a:solidFill>
              </a:rPr>
              <a:t>Income</a:t>
            </a:r>
            <a:r>
              <a:rPr lang="en-US" b="0">
                <a:solidFill>
                  <a:schemeClr val="bg1"/>
                </a:solidFill>
              </a:rPr>
              <a:t> remained stable from April to December, while </a:t>
            </a:r>
            <a:r>
              <a:rPr lang="en-US" b="0">
                <a:solidFill>
                  <a:schemeClr val="accent1">
                    <a:lumMod val="20000"/>
                    <a:lumOff val="80000"/>
                  </a:schemeClr>
                </a:solidFill>
              </a:rPr>
              <a:t>expenses</a:t>
            </a:r>
            <a:r>
              <a:rPr lang="en-US" b="0">
                <a:solidFill>
                  <a:schemeClr val="bg1"/>
                </a:solidFill>
              </a:rPr>
              <a:t> decreased mid-year and started rising again toward the end of the period.</a:t>
            </a:r>
          </a:p>
          <a:p>
            <a:endParaRPr lang="en-US" sz="1100" b="0">
              <a:solidFill>
                <a:schemeClr val="bg1"/>
              </a:solidFill>
            </a:endParaRPr>
          </a:p>
        </xdr:txBody>
      </xdr:sp>
    </xdr:grpSp>
    <xdr:clientData/>
  </xdr:twoCellAnchor>
  <xdr:twoCellAnchor>
    <xdr:from>
      <xdr:col>0</xdr:col>
      <xdr:colOff>184061</xdr:colOff>
      <xdr:row>22</xdr:row>
      <xdr:rowOff>98467</xdr:rowOff>
    </xdr:from>
    <xdr:to>
      <xdr:col>2</xdr:col>
      <xdr:colOff>605791</xdr:colOff>
      <xdr:row>31</xdr:row>
      <xdr:rowOff>0</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B616D5BD-497A-42ED-96AD-B0A2996DF2D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4061" y="4471684"/>
              <a:ext cx="1796643" cy="1690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20</xdr:row>
      <xdr:rowOff>114300</xdr:rowOff>
    </xdr:from>
    <xdr:to>
      <xdr:col>3</xdr:col>
      <xdr:colOff>0</xdr:colOff>
      <xdr:row>22</xdr:row>
      <xdr:rowOff>160993</xdr:rowOff>
    </xdr:to>
    <xdr:sp macro="" textlink="">
      <xdr:nvSpPr>
        <xdr:cNvPr id="3" name="TextBox 2">
          <a:extLst>
            <a:ext uri="{FF2B5EF4-FFF2-40B4-BE49-F238E27FC236}">
              <a16:creationId xmlns:a16="http://schemas.microsoft.com/office/drawing/2014/main" id="{310A49D6-6F17-47E6-A80C-0B2D9E660E28}"/>
            </a:ext>
          </a:extLst>
        </xdr:cNvPr>
        <xdr:cNvSpPr txBox="1"/>
      </xdr:nvSpPr>
      <xdr:spPr>
        <a:xfrm>
          <a:off x="133350" y="4089952"/>
          <a:ext cx="1929020" cy="4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2">
                  <a:lumMod val="90000"/>
                </a:schemeClr>
              </a:solidFill>
            </a:rPr>
            <a:t>Select a Month</a:t>
          </a:r>
        </a:p>
      </xdr:txBody>
    </xdr:sp>
    <xdr:clientData/>
  </xdr:twoCellAnchor>
  <xdr:twoCellAnchor>
    <xdr:from>
      <xdr:col>11</xdr:col>
      <xdr:colOff>160432</xdr:colOff>
      <xdr:row>0</xdr:row>
      <xdr:rowOff>111852</xdr:rowOff>
    </xdr:from>
    <xdr:to>
      <xdr:col>13</xdr:col>
      <xdr:colOff>140019</xdr:colOff>
      <xdr:row>3</xdr:row>
      <xdr:rowOff>130902</xdr:rowOff>
    </xdr:to>
    <xdr:sp macro="" textlink="">
      <xdr:nvSpPr>
        <xdr:cNvPr id="9" name="Rectangle: Rounded Corners 8">
          <a:extLst>
            <a:ext uri="{FF2B5EF4-FFF2-40B4-BE49-F238E27FC236}">
              <a16:creationId xmlns:a16="http://schemas.microsoft.com/office/drawing/2014/main" id="{2F6D922C-ADB3-828D-A7E5-52E2B5680BFD}"/>
            </a:ext>
          </a:extLst>
        </xdr:cNvPr>
        <xdr:cNvSpPr/>
      </xdr:nvSpPr>
      <xdr:spPr>
        <a:xfrm>
          <a:off x="7751274" y="111852"/>
          <a:ext cx="1359740" cy="6313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606198</xdr:colOff>
      <xdr:row>0</xdr:row>
      <xdr:rowOff>128769</xdr:rowOff>
    </xdr:from>
    <xdr:to>
      <xdr:col>13</xdr:col>
      <xdr:colOff>266901</xdr:colOff>
      <xdr:row>3</xdr:row>
      <xdr:rowOff>118676</xdr:rowOff>
    </xdr:to>
    <xdr:sp macro="" textlink="$U$1">
      <xdr:nvSpPr>
        <xdr:cNvPr id="20" name="TextBox 19">
          <a:extLst>
            <a:ext uri="{FF2B5EF4-FFF2-40B4-BE49-F238E27FC236}">
              <a16:creationId xmlns:a16="http://schemas.microsoft.com/office/drawing/2014/main" id="{7210D0DF-FC3C-4F29-98F8-6B2BEE9DF938}"/>
            </a:ext>
          </a:extLst>
        </xdr:cNvPr>
        <xdr:cNvSpPr txBox="1"/>
      </xdr:nvSpPr>
      <xdr:spPr>
        <a:xfrm>
          <a:off x="8197040" y="128769"/>
          <a:ext cx="1040856" cy="602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BF3C5D6-D81E-41AC-91D1-691D68170D85}" type="TxLink">
            <a:rPr lang="en-US" sz="1400" b="1" i="0" u="none" strike="noStrike">
              <a:solidFill>
                <a:schemeClr val="bg2">
                  <a:lumMod val="90000"/>
                </a:schemeClr>
              </a:solidFill>
              <a:latin typeface="Aptos Narrow"/>
            </a:rPr>
            <a:pPr algn="l"/>
            <a:t>466,700</a:t>
          </a:fld>
          <a:endParaRPr lang="en-US" sz="1400" b="1" i="0" u="none" strike="noStrike">
            <a:solidFill>
              <a:schemeClr val="bg2">
                <a:lumMod val="90000"/>
              </a:schemeClr>
            </a:solidFill>
            <a:latin typeface="Aptos Narrow"/>
          </a:endParaRPr>
        </a:p>
        <a:p>
          <a:pPr algn="l"/>
          <a:r>
            <a:rPr lang="en-US" sz="1100" b="1" i="0" u="none" strike="noStrike">
              <a:solidFill>
                <a:schemeClr val="bg2">
                  <a:lumMod val="90000"/>
                </a:schemeClr>
              </a:solidFill>
              <a:latin typeface="Aptos Narrow"/>
            </a:rPr>
            <a:t>Total Income</a:t>
          </a:r>
          <a:endParaRPr lang="en-US" sz="1400" b="1" i="0">
            <a:solidFill>
              <a:schemeClr val="bg2">
                <a:lumMod val="90000"/>
              </a:schemeClr>
            </a:solidFill>
          </a:endParaRPr>
        </a:p>
      </xdr:txBody>
    </xdr:sp>
    <xdr:clientData/>
  </xdr:twoCellAnchor>
  <xdr:twoCellAnchor>
    <xdr:from>
      <xdr:col>11</xdr:col>
      <xdr:colOff>214826</xdr:colOff>
      <xdr:row>1</xdr:row>
      <xdr:rowOff>4330</xdr:rowOff>
    </xdr:from>
    <xdr:to>
      <xdr:col>11</xdr:col>
      <xdr:colOff>664711</xdr:colOff>
      <xdr:row>3</xdr:row>
      <xdr:rowOff>50664</xdr:rowOff>
    </xdr:to>
    <xdr:pic>
      <xdr:nvPicPr>
        <xdr:cNvPr id="26" name="Graphic 25" descr="Money outline">
          <a:extLst>
            <a:ext uri="{FF2B5EF4-FFF2-40B4-BE49-F238E27FC236}">
              <a16:creationId xmlns:a16="http://schemas.microsoft.com/office/drawing/2014/main" id="{44BE4046-0072-96A3-71AE-4D625C712F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05668" y="208437"/>
          <a:ext cx="449885" cy="454548"/>
        </a:xfrm>
        <a:prstGeom prst="rect">
          <a:avLst/>
        </a:prstGeom>
      </xdr:spPr>
    </xdr:pic>
    <xdr:clientData/>
  </xdr:twoCellAnchor>
  <xdr:twoCellAnchor>
    <xdr:from>
      <xdr:col>13</xdr:col>
      <xdr:colOff>157005</xdr:colOff>
      <xdr:row>1</xdr:row>
      <xdr:rowOff>43296</xdr:rowOff>
    </xdr:from>
    <xdr:to>
      <xdr:col>13</xdr:col>
      <xdr:colOff>597478</xdr:colOff>
      <xdr:row>2</xdr:row>
      <xdr:rowOff>181843</xdr:rowOff>
    </xdr:to>
    <xdr:sp macro="" textlink="">
      <xdr:nvSpPr>
        <xdr:cNvPr id="29" name="Minus Sign 28">
          <a:extLst>
            <a:ext uri="{FF2B5EF4-FFF2-40B4-BE49-F238E27FC236}">
              <a16:creationId xmlns:a16="http://schemas.microsoft.com/office/drawing/2014/main" id="{BBFC810C-3CA4-50EC-E47C-087E8AC76808}"/>
            </a:ext>
          </a:extLst>
        </xdr:cNvPr>
        <xdr:cNvSpPr/>
      </xdr:nvSpPr>
      <xdr:spPr>
        <a:xfrm>
          <a:off x="9049891" y="242455"/>
          <a:ext cx="440473" cy="337706"/>
        </a:xfrm>
        <a:prstGeom prst="mathMinus">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610465</xdr:colOff>
      <xdr:row>1</xdr:row>
      <xdr:rowOff>30307</xdr:rowOff>
    </xdr:from>
    <xdr:to>
      <xdr:col>16</xdr:col>
      <xdr:colOff>428625</xdr:colOff>
      <xdr:row>3</xdr:row>
      <xdr:rowOff>12989</xdr:rowOff>
    </xdr:to>
    <xdr:sp macro="" textlink="">
      <xdr:nvSpPr>
        <xdr:cNvPr id="30" name="Equals 29">
          <a:extLst>
            <a:ext uri="{FF2B5EF4-FFF2-40B4-BE49-F238E27FC236}">
              <a16:creationId xmlns:a16="http://schemas.microsoft.com/office/drawing/2014/main" id="{48B58D69-CC6A-4421-3CF5-A00EF8F3CA85}"/>
            </a:ext>
          </a:extLst>
        </xdr:cNvPr>
        <xdr:cNvSpPr/>
      </xdr:nvSpPr>
      <xdr:spPr>
        <a:xfrm>
          <a:off x="10871488" y="229466"/>
          <a:ext cx="502228" cy="381000"/>
        </a:xfrm>
        <a:prstGeom prst="mathEqual">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611869</xdr:colOff>
      <xdr:row>0</xdr:row>
      <xdr:rowOff>110599</xdr:rowOff>
    </xdr:from>
    <xdr:to>
      <xdr:col>15</xdr:col>
      <xdr:colOff>592487</xdr:colOff>
      <xdr:row>3</xdr:row>
      <xdr:rowOff>129417</xdr:rowOff>
    </xdr:to>
    <xdr:sp macro="" textlink="">
      <xdr:nvSpPr>
        <xdr:cNvPr id="10" name="Rectangle: Rounded Corners 9">
          <a:extLst>
            <a:ext uri="{FF2B5EF4-FFF2-40B4-BE49-F238E27FC236}">
              <a16:creationId xmlns:a16="http://schemas.microsoft.com/office/drawing/2014/main" id="{52185A62-1A9D-4239-AD97-2FB6EF892820}"/>
            </a:ext>
          </a:extLst>
        </xdr:cNvPr>
        <xdr:cNvSpPr/>
      </xdr:nvSpPr>
      <xdr:spPr>
        <a:xfrm>
          <a:off x="9582864" y="110599"/>
          <a:ext cx="1360771" cy="6311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678142</xdr:colOff>
      <xdr:row>1</xdr:row>
      <xdr:rowOff>27609</xdr:rowOff>
    </xdr:from>
    <xdr:to>
      <xdr:col>14</xdr:col>
      <xdr:colOff>379489</xdr:colOff>
      <xdr:row>3</xdr:row>
      <xdr:rowOff>18689</xdr:rowOff>
    </xdr:to>
    <xdr:pic>
      <xdr:nvPicPr>
        <xdr:cNvPr id="32" name="Graphic 31" descr="Flying Money with solid fill">
          <a:extLst>
            <a:ext uri="{FF2B5EF4-FFF2-40B4-BE49-F238E27FC236}">
              <a16:creationId xmlns:a16="http://schemas.microsoft.com/office/drawing/2014/main" id="{0CCCC02E-6BF7-85FE-6650-3DEB9902823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649137" y="231716"/>
          <a:ext cx="391423" cy="399294"/>
        </a:xfrm>
        <a:prstGeom prst="rect">
          <a:avLst/>
        </a:prstGeom>
      </xdr:spPr>
    </xdr:pic>
    <xdr:clientData/>
  </xdr:twoCellAnchor>
  <xdr:twoCellAnchor>
    <xdr:from>
      <xdr:col>14</xdr:col>
      <xdr:colOff>330653</xdr:colOff>
      <xdr:row>0</xdr:row>
      <xdr:rowOff>203933</xdr:rowOff>
    </xdr:from>
    <xdr:to>
      <xdr:col>15</xdr:col>
      <xdr:colOff>647517</xdr:colOff>
      <xdr:row>3</xdr:row>
      <xdr:rowOff>147912</xdr:rowOff>
    </xdr:to>
    <xdr:sp macro="" textlink="$U$2">
      <xdr:nvSpPr>
        <xdr:cNvPr id="33" name="TextBox 32">
          <a:extLst>
            <a:ext uri="{FF2B5EF4-FFF2-40B4-BE49-F238E27FC236}">
              <a16:creationId xmlns:a16="http://schemas.microsoft.com/office/drawing/2014/main" id="{D2002E7C-0428-0B76-61D6-F62040A789C2}"/>
            </a:ext>
          </a:extLst>
        </xdr:cNvPr>
        <xdr:cNvSpPr txBox="1"/>
      </xdr:nvSpPr>
      <xdr:spPr>
        <a:xfrm>
          <a:off x="9991724" y="203933"/>
          <a:ext cx="1006941" cy="55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DB762C-D4BE-4E48-9013-B85AFEF78FED}" type="TxLink">
            <a:rPr lang="en-US" sz="1400" b="1" i="0" u="none" strike="noStrike">
              <a:solidFill>
                <a:schemeClr val="bg2">
                  <a:lumMod val="90000"/>
                </a:schemeClr>
              </a:solidFill>
              <a:latin typeface="Aptos Narrow"/>
            </a:rPr>
            <a:pPr/>
            <a:t>396,351</a:t>
          </a:fld>
          <a:endParaRPr lang="en-US" sz="1400" b="1" i="0" u="none" strike="noStrike">
            <a:solidFill>
              <a:schemeClr val="bg2">
                <a:lumMod val="90000"/>
              </a:schemeClr>
            </a:solidFill>
            <a:latin typeface="Aptos Narrow"/>
          </a:endParaRPr>
        </a:p>
        <a:p>
          <a:r>
            <a:rPr lang="en-US" sz="1000" b="1" i="0" u="none" strike="noStrike">
              <a:solidFill>
                <a:schemeClr val="bg2">
                  <a:lumMod val="90000"/>
                </a:schemeClr>
              </a:solidFill>
              <a:latin typeface="Aptos Narrow"/>
            </a:rPr>
            <a:t>Total</a:t>
          </a:r>
          <a:r>
            <a:rPr lang="en-US" sz="1000" b="1" i="0" u="none" strike="noStrike" baseline="0">
              <a:solidFill>
                <a:schemeClr val="bg2">
                  <a:lumMod val="90000"/>
                </a:schemeClr>
              </a:solidFill>
              <a:latin typeface="Aptos Narrow"/>
            </a:rPr>
            <a:t> Expenses</a:t>
          </a:r>
          <a:endParaRPr lang="en-US" sz="1000" b="1">
            <a:solidFill>
              <a:schemeClr val="bg2">
                <a:lumMod val="90000"/>
              </a:schemeClr>
            </a:solidFill>
          </a:endParaRPr>
        </a:p>
      </xdr:txBody>
    </xdr:sp>
    <xdr:clientData/>
  </xdr:twoCellAnchor>
  <xdr:twoCellAnchor>
    <xdr:from>
      <xdr:col>16</xdr:col>
      <xdr:colOff>472846</xdr:colOff>
      <xdr:row>0</xdr:row>
      <xdr:rowOff>111672</xdr:rowOff>
    </xdr:from>
    <xdr:to>
      <xdr:col>18</xdr:col>
      <xdr:colOff>452880</xdr:colOff>
      <xdr:row>3</xdr:row>
      <xdr:rowOff>130341</xdr:rowOff>
    </xdr:to>
    <xdr:sp macro="" textlink="">
      <xdr:nvSpPr>
        <xdr:cNvPr id="11" name="Rectangle: Rounded Corners 10">
          <a:extLst>
            <a:ext uri="{FF2B5EF4-FFF2-40B4-BE49-F238E27FC236}">
              <a16:creationId xmlns:a16="http://schemas.microsoft.com/office/drawing/2014/main" id="{FAD8BA59-BF95-499C-8FD5-066FA4F7FD7F}"/>
            </a:ext>
          </a:extLst>
        </xdr:cNvPr>
        <xdr:cNvSpPr/>
      </xdr:nvSpPr>
      <xdr:spPr>
        <a:xfrm>
          <a:off x="11514070" y="111672"/>
          <a:ext cx="1360188" cy="630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549033</xdr:colOff>
      <xdr:row>1</xdr:row>
      <xdr:rowOff>7208</xdr:rowOff>
    </xdr:from>
    <xdr:to>
      <xdr:col>17</xdr:col>
      <xdr:colOff>281439</xdr:colOff>
      <xdr:row>3</xdr:row>
      <xdr:rowOff>29051</xdr:rowOff>
    </xdr:to>
    <xdr:pic>
      <xdr:nvPicPr>
        <xdr:cNvPr id="35" name="Graphic 34" descr="Scales of justice with solid fill">
          <a:extLst>
            <a:ext uri="{FF2B5EF4-FFF2-40B4-BE49-F238E27FC236}">
              <a16:creationId xmlns:a16="http://schemas.microsoft.com/office/drawing/2014/main" id="{E3BFA1C4-098C-1F7A-9442-3F23040E02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590257" y="211315"/>
          <a:ext cx="422483" cy="430057"/>
        </a:xfrm>
        <a:prstGeom prst="rect">
          <a:avLst/>
        </a:prstGeom>
      </xdr:spPr>
    </xdr:pic>
    <xdr:clientData/>
  </xdr:twoCellAnchor>
  <xdr:twoCellAnchor>
    <xdr:from>
      <xdr:col>17</xdr:col>
      <xdr:colOff>299487</xdr:colOff>
      <xdr:row>1</xdr:row>
      <xdr:rowOff>13236</xdr:rowOff>
    </xdr:from>
    <xdr:to>
      <xdr:col>18</xdr:col>
      <xdr:colOff>615920</xdr:colOff>
      <xdr:row>3</xdr:row>
      <xdr:rowOff>161192</xdr:rowOff>
    </xdr:to>
    <xdr:sp macro="" textlink="$U$3">
      <xdr:nvSpPr>
        <xdr:cNvPr id="38" name="TextBox 37">
          <a:extLst>
            <a:ext uri="{FF2B5EF4-FFF2-40B4-BE49-F238E27FC236}">
              <a16:creationId xmlns:a16="http://schemas.microsoft.com/office/drawing/2014/main" id="{717F2BDF-6AD9-4366-B21E-5CEB20A47EEE}"/>
            </a:ext>
          </a:extLst>
        </xdr:cNvPr>
        <xdr:cNvSpPr txBox="1"/>
      </xdr:nvSpPr>
      <xdr:spPr>
        <a:xfrm>
          <a:off x="12030788" y="217343"/>
          <a:ext cx="1006510" cy="556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89D2AB-1F78-4990-85BB-4477EC8F009B}" type="TxLink">
            <a:rPr lang="en-US" sz="1400" b="1" i="0" u="none" strike="noStrike">
              <a:solidFill>
                <a:schemeClr val="bg2">
                  <a:lumMod val="90000"/>
                </a:schemeClr>
              </a:solidFill>
              <a:latin typeface="Aptos Narrow"/>
            </a:rPr>
            <a:pPr/>
            <a:t>70,349</a:t>
          </a:fld>
          <a:endParaRPr lang="en-US" sz="1400" b="1" i="0" u="none" strike="noStrike">
            <a:solidFill>
              <a:schemeClr val="bg2">
                <a:lumMod val="90000"/>
              </a:schemeClr>
            </a:solidFill>
            <a:latin typeface="Aptos Narrow"/>
          </a:endParaRPr>
        </a:p>
        <a:p>
          <a:r>
            <a:rPr lang="en-US" sz="1100" b="1" i="0" u="none" strike="noStrike">
              <a:solidFill>
                <a:schemeClr val="bg2">
                  <a:lumMod val="90000"/>
                </a:schemeClr>
              </a:solidFill>
              <a:latin typeface="Aptos Narrow"/>
            </a:rPr>
            <a:t>Balance</a:t>
          </a:r>
          <a:endParaRPr lang="en-US" sz="1800" b="1">
            <a:solidFill>
              <a:schemeClr val="bg2">
                <a:lumMod val="90000"/>
              </a:schemeClr>
            </a:solidFill>
          </a:endParaRPr>
        </a:p>
      </xdr:txBody>
    </xdr:sp>
    <xdr:clientData/>
  </xdr:twoCellAnchor>
  <xdr:twoCellAnchor>
    <xdr:from>
      <xdr:col>0</xdr:col>
      <xdr:colOff>167054</xdr:colOff>
      <xdr:row>0</xdr:row>
      <xdr:rowOff>120971</xdr:rowOff>
    </xdr:from>
    <xdr:to>
      <xdr:col>6</xdr:col>
      <xdr:colOff>666750</xdr:colOff>
      <xdr:row>3</xdr:row>
      <xdr:rowOff>97404</xdr:rowOff>
    </xdr:to>
    <xdr:grpSp>
      <xdr:nvGrpSpPr>
        <xdr:cNvPr id="49" name="Group 48">
          <a:extLst>
            <a:ext uri="{FF2B5EF4-FFF2-40B4-BE49-F238E27FC236}">
              <a16:creationId xmlns:a16="http://schemas.microsoft.com/office/drawing/2014/main" id="{EE0199DF-5EB3-4BAD-1534-3714D77544B8}"/>
            </a:ext>
          </a:extLst>
        </xdr:cNvPr>
        <xdr:cNvGrpSpPr/>
      </xdr:nvGrpSpPr>
      <xdr:grpSpPr>
        <a:xfrm>
          <a:off x="167054" y="120971"/>
          <a:ext cx="4640155" cy="588754"/>
          <a:chOff x="167054" y="120971"/>
          <a:chExt cx="4614496" cy="580590"/>
        </a:xfrm>
      </xdr:grpSpPr>
      <xdr:pic>
        <xdr:nvPicPr>
          <xdr:cNvPr id="44" name="Picture 43">
            <a:extLst>
              <a:ext uri="{FF2B5EF4-FFF2-40B4-BE49-F238E27FC236}">
                <a16:creationId xmlns:a16="http://schemas.microsoft.com/office/drawing/2014/main" id="{2714F037-BB64-3F9A-D9FD-237B87765017}"/>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22085" b="31979"/>
          <a:stretch>
            <a:fillRect/>
          </a:stretch>
        </xdr:blipFill>
        <xdr:spPr>
          <a:xfrm>
            <a:off x="167054" y="146538"/>
            <a:ext cx="797169" cy="555023"/>
          </a:xfrm>
          <a:prstGeom prst="rect">
            <a:avLst/>
          </a:prstGeom>
        </xdr:spPr>
      </xdr:pic>
      <xdr:sp macro="" textlink="">
        <xdr:nvSpPr>
          <xdr:cNvPr id="45" name="Rectangle 44">
            <a:extLst>
              <a:ext uri="{FF2B5EF4-FFF2-40B4-BE49-F238E27FC236}">
                <a16:creationId xmlns:a16="http://schemas.microsoft.com/office/drawing/2014/main" id="{0B730C6E-2A09-6AD3-5354-98BB71A5C426}"/>
              </a:ext>
            </a:extLst>
          </xdr:cNvPr>
          <xdr:cNvSpPr/>
        </xdr:nvSpPr>
        <xdr:spPr>
          <a:xfrm>
            <a:off x="964072" y="120971"/>
            <a:ext cx="3817478" cy="511294"/>
          </a:xfrm>
          <a:prstGeom prst="rect">
            <a:avLst/>
          </a:prstGeom>
          <a:noFill/>
        </xdr:spPr>
        <xdr:txBody>
          <a:bodyPr wrap="square" lIns="91440" tIns="45720" rIns="91440" bIns="45720">
            <a:spAutoFit/>
          </a:bodyPr>
          <a:lstStyle/>
          <a:p>
            <a:pPr algn="l"/>
            <a:r>
              <a:rPr lang="en-US" sz="1600" b="0" cap="none" spc="0">
                <a:ln w="0"/>
                <a:solidFill>
                  <a:schemeClr val="bg1"/>
                </a:solidFill>
                <a:effectLst>
                  <a:outerShdw blurRad="38100" dist="25400" dir="5400000" algn="ctr" rotWithShape="0">
                    <a:srgbClr val="6E747A">
                      <a:alpha val="43000"/>
                    </a:srgbClr>
                  </a:outerShdw>
                </a:effectLst>
                <a:latin typeface="Century Schoolbook" panose="02040604050505020304" pitchFamily="18" charset="0"/>
              </a:rPr>
              <a:t>Personal Finance</a:t>
            </a:r>
            <a:r>
              <a:rPr lang="en-US" sz="1600" b="0" cap="none" spc="0" baseline="0">
                <a:ln w="0"/>
                <a:solidFill>
                  <a:schemeClr val="bg1"/>
                </a:solidFill>
                <a:effectLst>
                  <a:outerShdw blurRad="38100" dist="25400" dir="5400000" algn="ctr" rotWithShape="0">
                    <a:srgbClr val="6E747A">
                      <a:alpha val="43000"/>
                    </a:srgbClr>
                  </a:outerShdw>
                </a:effectLst>
                <a:latin typeface="Century Schoolbook" panose="02040604050505020304" pitchFamily="18" charset="0"/>
              </a:rPr>
              <a:t> </a:t>
            </a:r>
            <a:r>
              <a:rPr lang="en-US" sz="1600" b="0" cap="none" spc="0">
                <a:ln w="0"/>
                <a:solidFill>
                  <a:schemeClr val="bg1"/>
                </a:solidFill>
                <a:effectLst>
                  <a:outerShdw blurRad="38100" dist="25400" dir="5400000" algn="ctr" rotWithShape="0">
                    <a:srgbClr val="6E747A">
                      <a:alpha val="43000"/>
                    </a:srgbClr>
                  </a:outerShdw>
                </a:effectLst>
                <a:latin typeface="Century Schoolbook" panose="02040604050505020304" pitchFamily="18" charset="0"/>
              </a:rPr>
              <a:t>Tracker</a:t>
            </a:r>
          </a:p>
          <a:p>
            <a:pPr algn="l"/>
            <a:r>
              <a:rPr lang="en-US" sz="1100">
                <a:solidFill>
                  <a:schemeClr val="bg1"/>
                </a:solidFill>
                <a:latin typeface="+mn-lt"/>
              </a:rPr>
              <a:t>Freedom starts with financial clarity.</a:t>
            </a:r>
            <a:endParaRPr lang="en-US" sz="1100" b="0" cap="none" spc="0">
              <a:ln w="0"/>
              <a:solidFill>
                <a:schemeClr val="bg1"/>
              </a:solidFill>
              <a:effectLst>
                <a:outerShdw blurRad="38100" dist="25400" dir="5400000" algn="ctr" rotWithShape="0">
                  <a:srgbClr val="6E747A">
                    <a:alpha val="43000"/>
                  </a:srgbClr>
                </a:outerShdw>
              </a:effectLst>
              <a:latin typeface="+mn-lt"/>
            </a:endParaRPr>
          </a:p>
        </xdr:txBody>
      </xdr:sp>
    </xdr:grpSp>
    <xdr:clientData/>
  </xdr:twoCellAnchor>
  <xdr:twoCellAnchor>
    <xdr:from>
      <xdr:col>1</xdr:col>
      <xdr:colOff>362783</xdr:colOff>
      <xdr:row>3</xdr:row>
      <xdr:rowOff>129136</xdr:rowOff>
    </xdr:from>
    <xdr:to>
      <xdr:col>3</xdr:col>
      <xdr:colOff>125162</xdr:colOff>
      <xdr:row>7</xdr:row>
      <xdr:rowOff>190654</xdr:rowOff>
    </xdr:to>
    <xdr:graphicFrame macro="">
      <xdr:nvGraphicFramePr>
        <xdr:cNvPr id="46" name="Chart 45">
          <a:extLst>
            <a:ext uri="{FF2B5EF4-FFF2-40B4-BE49-F238E27FC236}">
              <a16:creationId xmlns:a16="http://schemas.microsoft.com/office/drawing/2014/main" id="{B63BD894-0053-4739-8034-062151169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113109</xdr:colOff>
      <xdr:row>4</xdr:row>
      <xdr:rowOff>41208</xdr:rowOff>
    </xdr:from>
    <xdr:to>
      <xdr:col>2</xdr:col>
      <xdr:colOff>18128</xdr:colOff>
      <xdr:row>5</xdr:row>
      <xdr:rowOff>35190</xdr:rowOff>
    </xdr:to>
    <xdr:sp macro="" textlink="">
      <xdr:nvSpPr>
        <xdr:cNvPr id="12" name="TextBox 11">
          <a:extLst>
            <a:ext uri="{FF2B5EF4-FFF2-40B4-BE49-F238E27FC236}">
              <a16:creationId xmlns:a16="http://schemas.microsoft.com/office/drawing/2014/main" id="{8E532DA8-2913-596A-9A13-8A5C3102C753}"/>
            </a:ext>
          </a:extLst>
        </xdr:cNvPr>
        <xdr:cNvSpPr txBox="1"/>
      </xdr:nvSpPr>
      <xdr:spPr>
        <a:xfrm>
          <a:off x="113109" y="850833"/>
          <a:ext cx="1274238" cy="196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700">
              <a:solidFill>
                <a:schemeClr val="bg2"/>
              </a:solidFill>
            </a:rPr>
            <a:t>Account Summary</a:t>
          </a:r>
        </a:p>
      </xdr:txBody>
    </xdr:sp>
    <xdr:clientData/>
  </xdr:twoCellAnchor>
  <xdr:twoCellAnchor>
    <xdr:from>
      <xdr:col>0</xdr:col>
      <xdr:colOff>90697</xdr:colOff>
      <xdr:row>9</xdr:row>
      <xdr:rowOff>169138</xdr:rowOff>
    </xdr:from>
    <xdr:to>
      <xdr:col>2</xdr:col>
      <xdr:colOff>542193</xdr:colOff>
      <xdr:row>20</xdr:row>
      <xdr:rowOff>64346</xdr:rowOff>
    </xdr:to>
    <xdr:grpSp>
      <xdr:nvGrpSpPr>
        <xdr:cNvPr id="127" name="Group 126">
          <a:extLst>
            <a:ext uri="{FF2B5EF4-FFF2-40B4-BE49-F238E27FC236}">
              <a16:creationId xmlns:a16="http://schemas.microsoft.com/office/drawing/2014/main" id="{7FD0974D-B843-944F-19C5-F77B83ACEDDA}"/>
            </a:ext>
          </a:extLst>
        </xdr:cNvPr>
        <xdr:cNvGrpSpPr/>
      </xdr:nvGrpSpPr>
      <xdr:grpSpPr>
        <a:xfrm>
          <a:off x="90697" y="2006102"/>
          <a:ext cx="1831649" cy="2140387"/>
          <a:chOff x="90697" y="1981609"/>
          <a:chExt cx="1823096" cy="2110451"/>
        </a:xfrm>
      </xdr:grpSpPr>
      <xdr:graphicFrame macro="">
        <xdr:nvGraphicFramePr>
          <xdr:cNvPr id="41" name="Chart 40">
            <a:extLst>
              <a:ext uri="{FF2B5EF4-FFF2-40B4-BE49-F238E27FC236}">
                <a16:creationId xmlns:a16="http://schemas.microsoft.com/office/drawing/2014/main" id="{884C11E9-DF55-4598-80E9-B675A3816583}"/>
              </a:ext>
            </a:extLst>
          </xdr:cNvPr>
          <xdr:cNvGraphicFramePr>
            <a:graphicFrameLocks/>
          </xdr:cNvGraphicFramePr>
        </xdr:nvGraphicFramePr>
        <xdr:xfrm>
          <a:off x="125172" y="2055985"/>
          <a:ext cx="684439" cy="687841"/>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2" name="TextBox 41">
            <a:extLst>
              <a:ext uri="{FF2B5EF4-FFF2-40B4-BE49-F238E27FC236}">
                <a16:creationId xmlns:a16="http://schemas.microsoft.com/office/drawing/2014/main" id="{DF1A2603-2CCD-4E51-88C3-CB5C4B347B42}"/>
              </a:ext>
            </a:extLst>
          </xdr:cNvPr>
          <xdr:cNvSpPr txBox="1"/>
        </xdr:nvSpPr>
        <xdr:spPr>
          <a:xfrm>
            <a:off x="90697" y="1981609"/>
            <a:ext cx="1823096" cy="19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2"/>
                </a:solidFill>
              </a:rPr>
              <a:t>% Composition of Envelope System</a:t>
            </a:r>
          </a:p>
        </xdr:txBody>
      </xdr:sp>
      <xdr:graphicFrame macro="">
        <xdr:nvGraphicFramePr>
          <xdr:cNvPr id="43" name="Chart 42">
            <a:extLst>
              <a:ext uri="{FF2B5EF4-FFF2-40B4-BE49-F238E27FC236}">
                <a16:creationId xmlns:a16="http://schemas.microsoft.com/office/drawing/2014/main" id="{BFF2CF30-5ED7-475A-9EAA-64998D159EA4}"/>
              </a:ext>
            </a:extLst>
          </xdr:cNvPr>
          <xdr:cNvGraphicFramePr>
            <a:graphicFrameLocks/>
          </xdr:cNvGraphicFramePr>
        </xdr:nvGraphicFramePr>
        <xdr:xfrm>
          <a:off x="113009" y="2505171"/>
          <a:ext cx="684439" cy="687841"/>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5" name="Chart 54">
            <a:extLst>
              <a:ext uri="{FF2B5EF4-FFF2-40B4-BE49-F238E27FC236}">
                <a16:creationId xmlns:a16="http://schemas.microsoft.com/office/drawing/2014/main" id="{9D3C1123-8C5C-4ABA-9DF7-FA529B25AA8F}"/>
              </a:ext>
            </a:extLst>
          </xdr:cNvPr>
          <xdr:cNvGraphicFramePr>
            <a:graphicFrameLocks/>
          </xdr:cNvGraphicFramePr>
        </xdr:nvGraphicFramePr>
        <xdr:xfrm>
          <a:off x="125323" y="2954355"/>
          <a:ext cx="684439" cy="688522"/>
        </xdr:xfrm>
        <a:graphic>
          <a:graphicData uri="http://schemas.openxmlformats.org/drawingml/2006/chart">
            <c:chart xmlns:c="http://schemas.openxmlformats.org/drawingml/2006/chart" xmlns:r="http://schemas.openxmlformats.org/officeDocument/2006/relationships" r:id="rId13"/>
          </a:graphicData>
        </a:graphic>
      </xdr:graphicFrame>
      <xdr:sp macro="" textlink="PivotTables!C33">
        <xdr:nvSpPr>
          <xdr:cNvPr id="57" name="TextBox 56">
            <a:extLst>
              <a:ext uri="{FF2B5EF4-FFF2-40B4-BE49-F238E27FC236}">
                <a16:creationId xmlns:a16="http://schemas.microsoft.com/office/drawing/2014/main" id="{E3FB8CD0-4E8C-4C61-EBE7-8662922D7637}"/>
              </a:ext>
            </a:extLst>
          </xdr:cNvPr>
          <xdr:cNvSpPr txBox="1"/>
        </xdr:nvSpPr>
        <xdr:spPr>
          <a:xfrm>
            <a:off x="254717" y="2293065"/>
            <a:ext cx="527538" cy="224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039B24-7D43-4B88-9564-E7A5446FC34F}" type="TxLink">
              <a:rPr lang="en-US" sz="800" b="1" i="0" u="none" strike="noStrike">
                <a:solidFill>
                  <a:srgbClr val="E01990"/>
                </a:solidFill>
                <a:latin typeface="Aptos Narrow"/>
              </a:rPr>
              <a:pPr/>
              <a:t>40.9%</a:t>
            </a:fld>
            <a:endParaRPr lang="en-US" sz="700" b="1">
              <a:solidFill>
                <a:srgbClr val="E01990"/>
              </a:solidFill>
            </a:endParaRPr>
          </a:p>
        </xdr:txBody>
      </xdr:sp>
      <xdr:sp macro="" textlink="PivotTables!C32">
        <xdr:nvSpPr>
          <xdr:cNvPr id="58" name="TextBox 57">
            <a:extLst>
              <a:ext uri="{FF2B5EF4-FFF2-40B4-BE49-F238E27FC236}">
                <a16:creationId xmlns:a16="http://schemas.microsoft.com/office/drawing/2014/main" id="{3A2668E0-0A30-43FE-B594-0E9F4756DCBC}"/>
              </a:ext>
            </a:extLst>
          </xdr:cNvPr>
          <xdr:cNvSpPr txBox="1"/>
        </xdr:nvSpPr>
        <xdr:spPr>
          <a:xfrm>
            <a:off x="244982" y="2742519"/>
            <a:ext cx="527538" cy="22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1DFFA3-BFB0-4E64-9B4D-384C85DDF979}" type="TxLink">
              <a:rPr lang="en-US" sz="800" b="1" i="0" u="none" strike="noStrike">
                <a:solidFill>
                  <a:srgbClr val="E01990"/>
                </a:solidFill>
                <a:latin typeface="Aptos Narrow"/>
              </a:rPr>
              <a:pPr/>
              <a:t>38.1%</a:t>
            </a:fld>
            <a:endParaRPr lang="en-US" sz="200" b="1">
              <a:solidFill>
                <a:srgbClr val="E01990"/>
              </a:solidFill>
            </a:endParaRPr>
          </a:p>
        </xdr:txBody>
      </xdr:sp>
      <xdr:graphicFrame macro="">
        <xdr:nvGraphicFramePr>
          <xdr:cNvPr id="59" name="Chart 58">
            <a:extLst>
              <a:ext uri="{FF2B5EF4-FFF2-40B4-BE49-F238E27FC236}">
                <a16:creationId xmlns:a16="http://schemas.microsoft.com/office/drawing/2014/main" id="{D532A49D-68F3-4B3A-A784-9018E460C83E}"/>
              </a:ext>
            </a:extLst>
          </xdr:cNvPr>
          <xdr:cNvGraphicFramePr>
            <a:graphicFrameLocks/>
          </xdr:cNvGraphicFramePr>
        </xdr:nvGraphicFramePr>
        <xdr:xfrm>
          <a:off x="125479" y="3403538"/>
          <a:ext cx="684439" cy="688522"/>
        </xdr:xfrm>
        <a:graphic>
          <a:graphicData uri="http://schemas.openxmlformats.org/drawingml/2006/chart">
            <c:chart xmlns:c="http://schemas.openxmlformats.org/drawingml/2006/chart" xmlns:r="http://schemas.openxmlformats.org/officeDocument/2006/relationships" r:id="rId14"/>
          </a:graphicData>
        </a:graphic>
      </xdr:graphicFrame>
      <xdr:sp macro="" textlink="PivotTables!C35">
        <xdr:nvSpPr>
          <xdr:cNvPr id="60" name="TextBox 59">
            <a:extLst>
              <a:ext uri="{FF2B5EF4-FFF2-40B4-BE49-F238E27FC236}">
                <a16:creationId xmlns:a16="http://schemas.microsoft.com/office/drawing/2014/main" id="{E683FC93-1EC5-4544-A7DF-D911D3F5AAA2}"/>
              </a:ext>
            </a:extLst>
          </xdr:cNvPr>
          <xdr:cNvSpPr txBox="1"/>
        </xdr:nvSpPr>
        <xdr:spPr>
          <a:xfrm>
            <a:off x="292607" y="3185601"/>
            <a:ext cx="527538" cy="22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EE0AC2-95E0-4A16-8230-124A618AE1B7}" type="TxLink">
              <a:rPr lang="en-US" sz="800" b="1" i="0" u="none" strike="noStrike">
                <a:solidFill>
                  <a:srgbClr val="E01990"/>
                </a:solidFill>
                <a:latin typeface="Aptos Narrow"/>
              </a:rPr>
              <a:pPr/>
              <a:t>3.3%</a:t>
            </a:fld>
            <a:endParaRPr lang="en-US" sz="200" b="1">
              <a:solidFill>
                <a:srgbClr val="E01990"/>
              </a:solidFill>
            </a:endParaRPr>
          </a:p>
        </xdr:txBody>
      </xdr:sp>
      <xdr:sp macro="" textlink="PivotTables!D26">
        <xdr:nvSpPr>
          <xdr:cNvPr id="63" name="TextBox 62">
            <a:extLst>
              <a:ext uri="{FF2B5EF4-FFF2-40B4-BE49-F238E27FC236}">
                <a16:creationId xmlns:a16="http://schemas.microsoft.com/office/drawing/2014/main" id="{427577C5-3D37-4985-8161-4EDE35EB40D6}"/>
              </a:ext>
            </a:extLst>
          </xdr:cNvPr>
          <xdr:cNvSpPr txBox="1"/>
        </xdr:nvSpPr>
        <xdr:spPr>
          <a:xfrm>
            <a:off x="251107" y="3642801"/>
            <a:ext cx="527538" cy="224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4E435C-7090-4E19-AA0E-34691F94182A}" type="TxLink">
              <a:rPr lang="en-US" sz="800" b="1" i="0" u="none" strike="noStrike">
                <a:solidFill>
                  <a:srgbClr val="2CB6F4"/>
                </a:solidFill>
                <a:latin typeface="Aptos Narrow"/>
              </a:rPr>
              <a:pPr/>
              <a:t>15.1%</a:t>
            </a:fld>
            <a:endParaRPr lang="en-US" sz="200" b="1">
              <a:solidFill>
                <a:srgbClr val="2CB6F4"/>
              </a:solidFill>
            </a:endParaRPr>
          </a:p>
        </xdr:txBody>
      </xdr:sp>
      <xdr:sp macro="" textlink="">
        <xdr:nvSpPr>
          <xdr:cNvPr id="64" name="TextBox 63">
            <a:extLst>
              <a:ext uri="{FF2B5EF4-FFF2-40B4-BE49-F238E27FC236}">
                <a16:creationId xmlns:a16="http://schemas.microsoft.com/office/drawing/2014/main" id="{A0AB466C-499E-4E05-AE46-CAB3CE9FB54F}"/>
              </a:ext>
            </a:extLst>
          </xdr:cNvPr>
          <xdr:cNvSpPr txBox="1"/>
        </xdr:nvSpPr>
        <xdr:spPr>
          <a:xfrm>
            <a:off x="772119" y="2206287"/>
            <a:ext cx="753079" cy="19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2"/>
                </a:solidFill>
              </a:rPr>
              <a:t>Needs</a:t>
            </a:r>
            <a:endParaRPr lang="en-US" sz="900">
              <a:solidFill>
                <a:schemeClr val="bg2"/>
              </a:solidFill>
            </a:endParaRPr>
          </a:p>
        </xdr:txBody>
      </xdr:sp>
      <xdr:sp macro="" textlink="PivotTables!D33">
        <xdr:nvSpPr>
          <xdr:cNvPr id="68" name="TextBox 67">
            <a:extLst>
              <a:ext uri="{FF2B5EF4-FFF2-40B4-BE49-F238E27FC236}">
                <a16:creationId xmlns:a16="http://schemas.microsoft.com/office/drawing/2014/main" id="{55520664-EF7A-4ECE-9E36-30455EFA6467}"/>
              </a:ext>
            </a:extLst>
          </xdr:cNvPr>
          <xdr:cNvSpPr txBox="1"/>
        </xdr:nvSpPr>
        <xdr:spPr>
          <a:xfrm>
            <a:off x="753037" y="2340237"/>
            <a:ext cx="860090" cy="19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B2146EB-48A0-458F-902E-7A08BE18312C}" type="TxLink">
              <a:rPr lang="en-US" sz="1400" b="1" i="0" u="none" strike="noStrike">
                <a:solidFill>
                  <a:srgbClr val="E01990"/>
                </a:solidFill>
                <a:latin typeface="Aptos Narrow"/>
              </a:rPr>
              <a:pPr algn="l"/>
              <a:t>109,500</a:t>
            </a:fld>
            <a:endParaRPr lang="en-US" sz="800" b="1">
              <a:solidFill>
                <a:srgbClr val="E01990"/>
              </a:solidFill>
            </a:endParaRPr>
          </a:p>
        </xdr:txBody>
      </xdr:sp>
      <xdr:sp macro="" textlink="">
        <xdr:nvSpPr>
          <xdr:cNvPr id="69" name="TextBox 68">
            <a:extLst>
              <a:ext uri="{FF2B5EF4-FFF2-40B4-BE49-F238E27FC236}">
                <a16:creationId xmlns:a16="http://schemas.microsoft.com/office/drawing/2014/main" id="{B2AA54F7-29DF-4147-98BC-33D76688916E}"/>
              </a:ext>
            </a:extLst>
          </xdr:cNvPr>
          <xdr:cNvSpPr txBox="1"/>
        </xdr:nvSpPr>
        <xdr:spPr>
          <a:xfrm>
            <a:off x="754496" y="2621118"/>
            <a:ext cx="940759" cy="194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2"/>
                </a:solidFill>
              </a:rPr>
              <a:t>Financial Priorities</a:t>
            </a:r>
          </a:p>
        </xdr:txBody>
      </xdr:sp>
      <xdr:sp macro="" textlink="PivotTables!D32">
        <xdr:nvSpPr>
          <xdr:cNvPr id="70" name="TextBox 69">
            <a:extLst>
              <a:ext uri="{FF2B5EF4-FFF2-40B4-BE49-F238E27FC236}">
                <a16:creationId xmlns:a16="http://schemas.microsoft.com/office/drawing/2014/main" id="{70BBAE34-27C6-420A-BBB0-0BC828283117}"/>
              </a:ext>
            </a:extLst>
          </xdr:cNvPr>
          <xdr:cNvSpPr txBox="1"/>
        </xdr:nvSpPr>
        <xdr:spPr>
          <a:xfrm>
            <a:off x="756217" y="2757422"/>
            <a:ext cx="856910" cy="195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C9A9F49-832B-49DD-A3C3-C2FE8AE69EFC}" type="TxLink">
              <a:rPr lang="en-US" sz="1400" b="1" i="0" u="none" strike="noStrike">
                <a:solidFill>
                  <a:srgbClr val="E01990"/>
                </a:solidFill>
                <a:latin typeface="Aptos Narrow"/>
              </a:rPr>
              <a:pPr algn="l"/>
              <a:t>261,681</a:t>
            </a:fld>
            <a:endParaRPr lang="en-US" sz="800" b="1">
              <a:solidFill>
                <a:srgbClr val="E01990"/>
              </a:solidFill>
            </a:endParaRPr>
          </a:p>
        </xdr:txBody>
      </xdr:sp>
      <xdr:sp macro="" textlink="">
        <xdr:nvSpPr>
          <xdr:cNvPr id="71" name="TextBox 70">
            <a:extLst>
              <a:ext uri="{FF2B5EF4-FFF2-40B4-BE49-F238E27FC236}">
                <a16:creationId xmlns:a16="http://schemas.microsoft.com/office/drawing/2014/main" id="{C9220E8B-707E-4B58-8B60-FF5C943712E6}"/>
              </a:ext>
            </a:extLst>
          </xdr:cNvPr>
          <xdr:cNvSpPr txBox="1"/>
        </xdr:nvSpPr>
        <xdr:spPr>
          <a:xfrm>
            <a:off x="764478" y="3087109"/>
            <a:ext cx="940759" cy="19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2"/>
                </a:solidFill>
              </a:rPr>
              <a:t>Wants</a:t>
            </a:r>
            <a:endParaRPr lang="en-US" sz="600">
              <a:solidFill>
                <a:schemeClr val="bg2"/>
              </a:solidFill>
            </a:endParaRPr>
          </a:p>
        </xdr:txBody>
      </xdr:sp>
      <xdr:sp macro="" textlink="PivotTables!D35">
        <xdr:nvSpPr>
          <xdr:cNvPr id="72" name="TextBox 71">
            <a:extLst>
              <a:ext uri="{FF2B5EF4-FFF2-40B4-BE49-F238E27FC236}">
                <a16:creationId xmlns:a16="http://schemas.microsoft.com/office/drawing/2014/main" id="{1F8B5E3F-F8E7-4692-9AAF-D26B799DE0B7}"/>
              </a:ext>
            </a:extLst>
          </xdr:cNvPr>
          <xdr:cNvSpPr txBox="1"/>
        </xdr:nvSpPr>
        <xdr:spPr>
          <a:xfrm>
            <a:off x="754425" y="3222278"/>
            <a:ext cx="753079" cy="194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ECD028A-1CEA-46BB-8B0F-8B4103C68A06}" type="TxLink">
              <a:rPr lang="en-US" sz="1400" b="1" i="0" u="none" strike="noStrike">
                <a:solidFill>
                  <a:srgbClr val="E01990"/>
                </a:solidFill>
                <a:latin typeface="Aptos Narrow"/>
              </a:rPr>
              <a:pPr algn="l"/>
              <a:t>25,170</a:t>
            </a:fld>
            <a:endParaRPr lang="en-US" sz="800" b="1">
              <a:solidFill>
                <a:srgbClr val="E01990"/>
              </a:solidFill>
            </a:endParaRPr>
          </a:p>
        </xdr:txBody>
      </xdr:sp>
      <xdr:sp macro="" textlink="">
        <xdr:nvSpPr>
          <xdr:cNvPr id="73" name="TextBox 72">
            <a:extLst>
              <a:ext uri="{FF2B5EF4-FFF2-40B4-BE49-F238E27FC236}">
                <a16:creationId xmlns:a16="http://schemas.microsoft.com/office/drawing/2014/main" id="{465E38B1-F2DB-4B98-9BA1-239F82C1D2B9}"/>
              </a:ext>
            </a:extLst>
          </xdr:cNvPr>
          <xdr:cNvSpPr txBox="1"/>
        </xdr:nvSpPr>
        <xdr:spPr>
          <a:xfrm>
            <a:off x="761968" y="3541656"/>
            <a:ext cx="940759" cy="195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2"/>
                </a:solidFill>
              </a:rPr>
              <a:t>Balance</a:t>
            </a:r>
          </a:p>
        </xdr:txBody>
      </xdr:sp>
      <xdr:sp macro="" textlink="PivotTables!C26">
        <xdr:nvSpPr>
          <xdr:cNvPr id="74" name="TextBox 73">
            <a:extLst>
              <a:ext uri="{FF2B5EF4-FFF2-40B4-BE49-F238E27FC236}">
                <a16:creationId xmlns:a16="http://schemas.microsoft.com/office/drawing/2014/main" id="{240B953E-0A95-48E0-8826-2D94278BFFB1}"/>
              </a:ext>
            </a:extLst>
          </xdr:cNvPr>
          <xdr:cNvSpPr txBox="1"/>
        </xdr:nvSpPr>
        <xdr:spPr>
          <a:xfrm>
            <a:off x="756571" y="3698971"/>
            <a:ext cx="753079" cy="195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B269B93-FDFB-42FD-872C-B4ADCCC83E1E}" type="TxLink">
              <a:rPr lang="en-US" sz="1400" b="1" i="0" u="none" strike="noStrike">
                <a:solidFill>
                  <a:srgbClr val="2CB6F4"/>
                </a:solidFill>
                <a:latin typeface="Aptos Narrow"/>
              </a:rPr>
              <a:pPr algn="l"/>
              <a:t>70,349</a:t>
            </a:fld>
            <a:endParaRPr lang="en-US" sz="800" b="1">
              <a:solidFill>
                <a:srgbClr val="2CB6F4"/>
              </a:solidFill>
            </a:endParaRPr>
          </a:p>
        </xdr:txBody>
      </xdr:sp>
    </xdr:grpSp>
    <xdr:clientData/>
  </xdr:twoCellAnchor>
  <xdr:twoCellAnchor>
    <xdr:from>
      <xdr:col>12</xdr:col>
      <xdr:colOff>298173</xdr:colOff>
      <xdr:row>30</xdr:row>
      <xdr:rowOff>150122</xdr:rowOff>
    </xdr:from>
    <xdr:to>
      <xdr:col>14</xdr:col>
      <xdr:colOff>31877</xdr:colOff>
      <xdr:row>32</xdr:row>
      <xdr:rowOff>15710</xdr:rowOff>
    </xdr:to>
    <xdr:sp macro="" textlink="">
      <xdr:nvSpPr>
        <xdr:cNvPr id="34" name="TextBox 33">
          <a:extLst>
            <a:ext uri="{FF2B5EF4-FFF2-40B4-BE49-F238E27FC236}">
              <a16:creationId xmlns:a16="http://schemas.microsoft.com/office/drawing/2014/main" id="{50DB90F1-0484-E0D2-73A7-09F1F823AD92}"/>
            </a:ext>
          </a:extLst>
        </xdr:cNvPr>
        <xdr:cNvSpPr txBox="1"/>
      </xdr:nvSpPr>
      <xdr:spPr>
        <a:xfrm>
          <a:off x="8527773" y="6150872"/>
          <a:ext cx="1105304" cy="265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lumMod val="95000"/>
                </a:schemeClr>
              </a:solidFill>
            </a:rPr>
            <a:t>Select Category:</a:t>
          </a:r>
        </a:p>
      </xdr:txBody>
    </xdr:sp>
    <xdr:clientData/>
  </xdr:twoCellAnchor>
  <xdr:twoCellAnchor>
    <xdr:from>
      <xdr:col>9</xdr:col>
      <xdr:colOff>193074</xdr:colOff>
      <xdr:row>20</xdr:row>
      <xdr:rowOff>144615</xdr:rowOff>
    </xdr:from>
    <xdr:to>
      <xdr:col>10</xdr:col>
      <xdr:colOff>495246</xdr:colOff>
      <xdr:row>21</xdr:row>
      <xdr:rowOff>95872</xdr:rowOff>
    </xdr:to>
    <xdr:sp macro="" textlink="">
      <xdr:nvSpPr>
        <xdr:cNvPr id="36" name="TextBox 35">
          <a:extLst>
            <a:ext uri="{FF2B5EF4-FFF2-40B4-BE49-F238E27FC236}">
              <a16:creationId xmlns:a16="http://schemas.microsoft.com/office/drawing/2014/main" id="{4CA94634-9C74-823C-9E37-33F40116A564}"/>
            </a:ext>
          </a:extLst>
        </xdr:cNvPr>
        <xdr:cNvSpPr txBox="1"/>
      </xdr:nvSpPr>
      <xdr:spPr>
        <a:xfrm>
          <a:off x="6349688" y="4127797"/>
          <a:ext cx="986240" cy="150416"/>
        </a:xfrm>
        <a:prstGeom prst="rect">
          <a:avLst/>
        </a:prstGeom>
        <a:solidFill>
          <a:srgbClr val="00CC8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rPr>
            <a:t>Income</a:t>
          </a:r>
        </a:p>
      </xdr:txBody>
    </xdr:sp>
    <xdr:clientData/>
  </xdr:twoCellAnchor>
  <xdr:twoCellAnchor>
    <xdr:from>
      <xdr:col>10</xdr:col>
      <xdr:colOff>561952</xdr:colOff>
      <xdr:row>20</xdr:row>
      <xdr:rowOff>144615</xdr:rowOff>
    </xdr:from>
    <xdr:to>
      <xdr:col>12</xdr:col>
      <xdr:colOff>178324</xdr:colOff>
      <xdr:row>21</xdr:row>
      <xdr:rowOff>95872</xdr:rowOff>
    </xdr:to>
    <xdr:sp macro="" textlink="">
      <xdr:nvSpPr>
        <xdr:cNvPr id="47" name="TextBox 46">
          <a:extLst>
            <a:ext uri="{FF2B5EF4-FFF2-40B4-BE49-F238E27FC236}">
              <a16:creationId xmlns:a16="http://schemas.microsoft.com/office/drawing/2014/main" id="{7E31984A-184C-407E-B8E8-FC2C22E1ED3B}"/>
            </a:ext>
          </a:extLst>
        </xdr:cNvPr>
        <xdr:cNvSpPr txBox="1"/>
      </xdr:nvSpPr>
      <xdr:spPr>
        <a:xfrm>
          <a:off x="7402634" y="4127797"/>
          <a:ext cx="984508" cy="150416"/>
        </a:xfrm>
        <a:prstGeom prst="rect">
          <a:avLst/>
        </a:prstGeom>
        <a:solidFill>
          <a:srgbClr val="E019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rPr>
            <a:t>Expense</a:t>
          </a:r>
        </a:p>
      </xdr:txBody>
    </xdr:sp>
    <xdr:clientData/>
  </xdr:twoCellAnchor>
  <xdr:twoCellAnchor editAs="oneCell">
    <xdr:from>
      <xdr:col>9</xdr:col>
      <xdr:colOff>175759</xdr:colOff>
      <xdr:row>22</xdr:row>
      <xdr:rowOff>183696</xdr:rowOff>
    </xdr:from>
    <xdr:to>
      <xdr:col>9</xdr:col>
      <xdr:colOff>517347</xdr:colOff>
      <xdr:row>24</xdr:row>
      <xdr:rowOff>151843</xdr:rowOff>
    </xdr:to>
    <xdr:pic>
      <xdr:nvPicPr>
        <xdr:cNvPr id="39" name="Graphic 38" descr="Arrow: Clockwise curve with solid fill">
          <a:extLst>
            <a:ext uri="{FF2B5EF4-FFF2-40B4-BE49-F238E27FC236}">
              <a16:creationId xmlns:a16="http://schemas.microsoft.com/office/drawing/2014/main" id="{FC43E4D6-6882-476E-918D-B49D8317C08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60205" y="4599214"/>
          <a:ext cx="341588" cy="369558"/>
        </a:xfrm>
        <a:prstGeom prst="rect">
          <a:avLst/>
        </a:prstGeom>
      </xdr:spPr>
    </xdr:pic>
    <xdr:clientData/>
  </xdr:twoCellAnchor>
  <xdr:twoCellAnchor editAs="oneCell">
    <xdr:from>
      <xdr:col>19</xdr:col>
      <xdr:colOff>0</xdr:colOff>
      <xdr:row>32</xdr:row>
      <xdr:rowOff>0</xdr:rowOff>
    </xdr:from>
    <xdr:to>
      <xdr:col>19</xdr:col>
      <xdr:colOff>0</xdr:colOff>
      <xdr:row>33</xdr:row>
      <xdr:rowOff>0</xdr:rowOff>
    </xdr:to>
    <xdr:pic>
      <xdr:nvPicPr>
        <xdr:cNvPr id="77" name="Graphic 76" descr="Heartbeat outline">
          <a:extLst>
            <a:ext uri="{FF2B5EF4-FFF2-40B4-BE49-F238E27FC236}">
              <a16:creationId xmlns:a16="http://schemas.microsoft.com/office/drawing/2014/main" id="{8EADCA34-2DD5-368C-6736-1D3B740A7ED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980276" y="6306207"/>
          <a:ext cx="0" cy="197069"/>
        </a:xfrm>
        <a:prstGeom prst="rect">
          <a:avLst/>
        </a:prstGeom>
      </xdr:spPr>
    </xdr:pic>
    <xdr:clientData/>
  </xdr:twoCellAnchor>
  <xdr:twoCellAnchor editAs="oneCell">
    <xdr:from>
      <xdr:col>9</xdr:col>
      <xdr:colOff>190953</xdr:colOff>
      <xdr:row>26</xdr:row>
      <xdr:rowOff>30480</xdr:rowOff>
    </xdr:from>
    <xdr:to>
      <xdr:col>9</xdr:col>
      <xdr:colOff>476250</xdr:colOff>
      <xdr:row>27</xdr:row>
      <xdr:rowOff>119992</xdr:rowOff>
    </xdr:to>
    <xdr:pic>
      <xdr:nvPicPr>
        <xdr:cNvPr id="79" name="Graphic 78" descr="Heartbeat with solid fill">
          <a:extLst>
            <a:ext uri="{FF2B5EF4-FFF2-40B4-BE49-F238E27FC236}">
              <a16:creationId xmlns:a16="http://schemas.microsoft.com/office/drawing/2014/main" id="{DFA4E828-7DEC-4DEF-AD62-B763E0821AF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363153" y="5280660"/>
          <a:ext cx="285297" cy="291442"/>
        </a:xfrm>
        <a:prstGeom prst="rect">
          <a:avLst/>
        </a:prstGeom>
      </xdr:spPr>
    </xdr:pic>
    <xdr:clientData/>
  </xdr:twoCellAnchor>
  <xdr:twoCellAnchor>
    <xdr:from>
      <xdr:col>9</xdr:col>
      <xdr:colOff>385718</xdr:colOff>
      <xdr:row>22</xdr:row>
      <xdr:rowOff>138473</xdr:rowOff>
    </xdr:from>
    <xdr:to>
      <xdr:col>10</xdr:col>
      <xdr:colOff>250139</xdr:colOff>
      <xdr:row>24</xdr:row>
      <xdr:rowOff>72151</xdr:rowOff>
    </xdr:to>
    <xdr:sp macro="" textlink="$U$18">
      <xdr:nvSpPr>
        <xdr:cNvPr id="48" name="TextBox 47">
          <a:extLst>
            <a:ext uri="{FF2B5EF4-FFF2-40B4-BE49-F238E27FC236}">
              <a16:creationId xmlns:a16="http://schemas.microsoft.com/office/drawing/2014/main" id="{A056CFEB-CE1E-F3EF-6491-4ABF96A1718D}"/>
            </a:ext>
          </a:extLst>
        </xdr:cNvPr>
        <xdr:cNvSpPr txBox="1"/>
      </xdr:nvSpPr>
      <xdr:spPr>
        <a:xfrm>
          <a:off x="6572827" y="4511690"/>
          <a:ext cx="551877" cy="331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FF1A7F9-105F-4075-8DFD-58E24B62BCA9}" type="TxLink">
            <a:rPr lang="en-US" sz="1050" b="1" i="0" u="none" strike="noStrike">
              <a:solidFill>
                <a:srgbClr val="00CC8D"/>
              </a:solidFill>
              <a:latin typeface="Aptos Narrow"/>
            </a:rPr>
            <a:pPr algn="l"/>
            <a:t>May</a:t>
          </a:fld>
          <a:r>
            <a:rPr lang="en-US" sz="1050" b="1" i="0" u="none" strike="noStrike">
              <a:solidFill>
                <a:srgbClr val="00CC8D"/>
              </a:solidFill>
              <a:latin typeface="Aptos Narrow"/>
            </a:rPr>
            <a:t> |</a:t>
          </a:r>
          <a:endParaRPr lang="en-US" sz="800" b="1">
            <a:solidFill>
              <a:srgbClr val="00CC8D"/>
            </a:solidFill>
          </a:endParaRPr>
        </a:p>
      </xdr:txBody>
    </xdr:sp>
    <xdr:clientData/>
  </xdr:twoCellAnchor>
  <xdr:twoCellAnchor>
    <xdr:from>
      <xdr:col>10</xdr:col>
      <xdr:colOff>9970</xdr:colOff>
      <xdr:row>22</xdr:row>
      <xdr:rowOff>129577</xdr:rowOff>
    </xdr:from>
    <xdr:to>
      <xdr:col>10</xdr:col>
      <xdr:colOff>584507</xdr:colOff>
      <xdr:row>24</xdr:row>
      <xdr:rowOff>97922</xdr:rowOff>
    </xdr:to>
    <xdr:sp macro="" textlink="$V$17">
      <xdr:nvSpPr>
        <xdr:cNvPr id="50" name="TextBox 49">
          <a:extLst>
            <a:ext uri="{FF2B5EF4-FFF2-40B4-BE49-F238E27FC236}">
              <a16:creationId xmlns:a16="http://schemas.microsoft.com/office/drawing/2014/main" id="{23B47CB0-15C2-402B-B67B-40A418B6A125}"/>
            </a:ext>
          </a:extLst>
        </xdr:cNvPr>
        <xdr:cNvSpPr txBox="1"/>
      </xdr:nvSpPr>
      <xdr:spPr>
        <a:xfrm>
          <a:off x="6884535" y="4502794"/>
          <a:ext cx="574537" cy="36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FE613D1-E930-4546-B69D-242FDA3F5F6C}" type="TxLink">
            <a:rPr lang="en-US" sz="1050" b="1" i="0" u="none" strike="noStrike">
              <a:solidFill>
                <a:srgbClr val="00CC8D"/>
              </a:solidFill>
              <a:latin typeface="Aptos Narrow"/>
            </a:rPr>
            <a:pPr algn="l"/>
            <a:t>17,500</a:t>
          </a:fld>
          <a:endParaRPr lang="en-US" sz="700" b="1">
            <a:solidFill>
              <a:srgbClr val="00CC8D"/>
            </a:solidFill>
          </a:endParaRPr>
        </a:p>
      </xdr:txBody>
    </xdr:sp>
    <xdr:clientData/>
  </xdr:twoCellAnchor>
  <xdr:twoCellAnchor>
    <xdr:from>
      <xdr:col>9</xdr:col>
      <xdr:colOff>268065</xdr:colOff>
      <xdr:row>24</xdr:row>
      <xdr:rowOff>24554</xdr:rowOff>
    </xdr:from>
    <xdr:to>
      <xdr:col>10</xdr:col>
      <xdr:colOff>664940</xdr:colOff>
      <xdr:row>24</xdr:row>
      <xdr:rowOff>175877</xdr:rowOff>
    </xdr:to>
    <xdr:sp macro="" textlink="">
      <xdr:nvSpPr>
        <xdr:cNvPr id="54" name="TextBox 53">
          <a:extLst>
            <a:ext uri="{FF2B5EF4-FFF2-40B4-BE49-F238E27FC236}">
              <a16:creationId xmlns:a16="http://schemas.microsoft.com/office/drawing/2014/main" id="{21EC1BBF-61C0-4E88-8288-1AF57912AF1E}"/>
            </a:ext>
          </a:extLst>
        </xdr:cNvPr>
        <xdr:cNvSpPr txBox="1"/>
      </xdr:nvSpPr>
      <xdr:spPr>
        <a:xfrm>
          <a:off x="6455174" y="4795337"/>
          <a:ext cx="1084331" cy="15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lumMod val="95000"/>
                </a:schemeClr>
              </a:solidFill>
            </a:rPr>
            <a:t>Highest Income</a:t>
          </a:r>
        </a:p>
      </xdr:txBody>
    </xdr:sp>
    <xdr:clientData/>
  </xdr:twoCellAnchor>
  <xdr:twoCellAnchor>
    <xdr:from>
      <xdr:col>9</xdr:col>
      <xdr:colOff>407991</xdr:colOff>
      <xdr:row>25</xdr:row>
      <xdr:rowOff>183048</xdr:rowOff>
    </xdr:from>
    <xdr:to>
      <xdr:col>10</xdr:col>
      <xdr:colOff>271786</xdr:colOff>
      <xdr:row>27</xdr:row>
      <xdr:rowOff>112840</xdr:rowOff>
    </xdr:to>
    <xdr:sp macro="" textlink="$U$21">
      <xdr:nvSpPr>
        <xdr:cNvPr id="66" name="TextBox 65">
          <a:extLst>
            <a:ext uri="{FF2B5EF4-FFF2-40B4-BE49-F238E27FC236}">
              <a16:creationId xmlns:a16="http://schemas.microsoft.com/office/drawing/2014/main" id="{4807BD15-BAB5-0A5A-2D72-6EDB63D96AB7}"/>
            </a:ext>
          </a:extLst>
        </xdr:cNvPr>
        <xdr:cNvSpPr txBox="1"/>
      </xdr:nvSpPr>
      <xdr:spPr>
        <a:xfrm>
          <a:off x="6606568" y="5128721"/>
          <a:ext cx="552526" cy="325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07D712-7F0A-4BC7-898E-405F56A20936}" type="TxLink">
            <a:rPr lang="en-US" sz="1050" b="1" i="0" u="none" strike="noStrike">
              <a:solidFill>
                <a:srgbClr val="00CC8D"/>
              </a:solidFill>
              <a:latin typeface="Aptos Narrow"/>
            </a:rPr>
            <a:pPr algn="l"/>
            <a:t>Jul</a:t>
          </a:fld>
          <a:r>
            <a:rPr lang="en-US" sz="1050" b="1" i="0" u="none" strike="noStrike">
              <a:solidFill>
                <a:srgbClr val="00CC8D"/>
              </a:solidFill>
              <a:latin typeface="Aptos Narrow"/>
            </a:rPr>
            <a:t> |</a:t>
          </a:r>
          <a:endParaRPr lang="en-US" sz="600" b="1">
            <a:solidFill>
              <a:srgbClr val="00CC8D"/>
            </a:solidFill>
          </a:endParaRPr>
        </a:p>
      </xdr:txBody>
    </xdr:sp>
    <xdr:clientData/>
  </xdr:twoCellAnchor>
  <xdr:twoCellAnchor>
    <xdr:from>
      <xdr:col>9</xdr:col>
      <xdr:colOff>674223</xdr:colOff>
      <xdr:row>25</xdr:row>
      <xdr:rowOff>170614</xdr:rowOff>
    </xdr:from>
    <xdr:to>
      <xdr:col>10</xdr:col>
      <xdr:colOff>560705</xdr:colOff>
      <xdr:row>27</xdr:row>
      <xdr:rowOff>134466</xdr:rowOff>
    </xdr:to>
    <xdr:sp macro="" textlink="$V$20">
      <xdr:nvSpPr>
        <xdr:cNvPr id="67" name="TextBox 66">
          <a:extLst>
            <a:ext uri="{FF2B5EF4-FFF2-40B4-BE49-F238E27FC236}">
              <a16:creationId xmlns:a16="http://schemas.microsoft.com/office/drawing/2014/main" id="{7D35FF15-E085-0CA4-4AC6-5685C46BFE41}"/>
            </a:ext>
          </a:extLst>
        </xdr:cNvPr>
        <xdr:cNvSpPr txBox="1"/>
      </xdr:nvSpPr>
      <xdr:spPr>
        <a:xfrm>
          <a:off x="6872800" y="5116287"/>
          <a:ext cx="575213" cy="359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30FB76F-B508-413F-910C-9844EF694E8B}" type="TxLink">
            <a:rPr lang="en-US" sz="1050" b="1" i="0" u="none" strike="noStrike">
              <a:solidFill>
                <a:srgbClr val="00CC8D"/>
              </a:solidFill>
              <a:latin typeface="Aptos Narrow"/>
            </a:rPr>
            <a:pPr algn="l"/>
            <a:t>12,250</a:t>
          </a:fld>
          <a:endParaRPr lang="en-US" sz="500" b="1">
            <a:solidFill>
              <a:srgbClr val="00CC8D"/>
            </a:solidFill>
          </a:endParaRPr>
        </a:p>
      </xdr:txBody>
    </xdr:sp>
    <xdr:clientData/>
  </xdr:twoCellAnchor>
  <xdr:twoCellAnchor>
    <xdr:from>
      <xdr:col>9</xdr:col>
      <xdr:colOff>271099</xdr:colOff>
      <xdr:row>27</xdr:row>
      <xdr:rowOff>62382</xdr:rowOff>
    </xdr:from>
    <xdr:to>
      <xdr:col>10</xdr:col>
      <xdr:colOff>667974</xdr:colOff>
      <xdr:row>28</xdr:row>
      <xdr:rowOff>13230</xdr:rowOff>
    </xdr:to>
    <xdr:sp macro="" textlink="">
      <xdr:nvSpPr>
        <xdr:cNvPr id="75" name="TextBox 74">
          <a:extLst>
            <a:ext uri="{FF2B5EF4-FFF2-40B4-BE49-F238E27FC236}">
              <a16:creationId xmlns:a16="http://schemas.microsoft.com/office/drawing/2014/main" id="{E2AA88FE-F476-9250-54BA-C38631153FAD}"/>
            </a:ext>
          </a:extLst>
        </xdr:cNvPr>
        <xdr:cNvSpPr txBox="1"/>
      </xdr:nvSpPr>
      <xdr:spPr>
        <a:xfrm>
          <a:off x="6469676" y="5403709"/>
          <a:ext cx="1085606" cy="14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lumMod val="95000"/>
                </a:schemeClr>
              </a:solidFill>
            </a:rPr>
            <a:t>Average Income</a:t>
          </a:r>
        </a:p>
      </xdr:txBody>
    </xdr:sp>
    <xdr:clientData/>
  </xdr:twoCellAnchor>
  <xdr:twoCellAnchor>
    <xdr:from>
      <xdr:col>9</xdr:col>
      <xdr:colOff>407991</xdr:colOff>
      <xdr:row>28</xdr:row>
      <xdr:rowOff>148564</xdr:rowOff>
    </xdr:from>
    <xdr:to>
      <xdr:col>10</xdr:col>
      <xdr:colOff>271786</xdr:colOff>
      <xdr:row>30</xdr:row>
      <xdr:rowOff>82653</xdr:rowOff>
    </xdr:to>
    <xdr:sp macro="" textlink="$U$24">
      <xdr:nvSpPr>
        <xdr:cNvPr id="81" name="TextBox 80">
          <a:extLst>
            <a:ext uri="{FF2B5EF4-FFF2-40B4-BE49-F238E27FC236}">
              <a16:creationId xmlns:a16="http://schemas.microsoft.com/office/drawing/2014/main" id="{FD6602A4-4EC2-E35E-1DC8-E899A425A715}"/>
            </a:ext>
          </a:extLst>
        </xdr:cNvPr>
        <xdr:cNvSpPr txBox="1"/>
      </xdr:nvSpPr>
      <xdr:spPr>
        <a:xfrm>
          <a:off x="6606568" y="5687718"/>
          <a:ext cx="552526" cy="329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28D09E-C8C5-4BF7-8962-E376E9BC2D3B}" type="TxLink">
            <a:rPr lang="en-US" sz="1050" b="1" i="0" u="none" strike="noStrike">
              <a:solidFill>
                <a:srgbClr val="00CC8D"/>
              </a:solidFill>
              <a:latin typeface="Aptos Narrow"/>
            </a:rPr>
            <a:pPr algn="l"/>
            <a:t>Jan</a:t>
          </a:fld>
          <a:r>
            <a:rPr lang="en-US" sz="1050" b="1" i="0" u="none" strike="noStrike">
              <a:solidFill>
                <a:srgbClr val="00CC8D"/>
              </a:solidFill>
              <a:latin typeface="Aptos Narrow"/>
            </a:rPr>
            <a:t> |</a:t>
          </a:r>
          <a:endParaRPr lang="en-US" sz="400" b="1">
            <a:solidFill>
              <a:srgbClr val="00CC8D"/>
            </a:solidFill>
          </a:endParaRPr>
        </a:p>
      </xdr:txBody>
    </xdr:sp>
    <xdr:clientData/>
  </xdr:twoCellAnchor>
  <xdr:twoCellAnchor>
    <xdr:from>
      <xdr:col>10</xdr:col>
      <xdr:colOff>8413</xdr:colOff>
      <xdr:row>28</xdr:row>
      <xdr:rowOff>139708</xdr:rowOff>
    </xdr:from>
    <xdr:to>
      <xdr:col>10</xdr:col>
      <xdr:colOff>583626</xdr:colOff>
      <xdr:row>30</xdr:row>
      <xdr:rowOff>108307</xdr:rowOff>
    </xdr:to>
    <xdr:sp macro="" textlink="$V$23">
      <xdr:nvSpPr>
        <xdr:cNvPr id="82" name="TextBox 81">
          <a:extLst>
            <a:ext uri="{FF2B5EF4-FFF2-40B4-BE49-F238E27FC236}">
              <a16:creationId xmlns:a16="http://schemas.microsoft.com/office/drawing/2014/main" id="{8CA96488-36BD-26C1-A7CD-36486EA012A3}"/>
            </a:ext>
          </a:extLst>
        </xdr:cNvPr>
        <xdr:cNvSpPr txBox="1"/>
      </xdr:nvSpPr>
      <xdr:spPr>
        <a:xfrm>
          <a:off x="6895721" y="5678862"/>
          <a:ext cx="575213" cy="364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302BB70-D027-4A1D-8C46-5F1CA482CB34}" type="TxLink">
            <a:rPr lang="en-US" sz="1050" b="1" i="0" u="none" strike="noStrike">
              <a:solidFill>
                <a:srgbClr val="00CC8D"/>
              </a:solidFill>
              <a:latin typeface="Aptos Narrow"/>
            </a:rPr>
            <a:pPr algn="l"/>
            <a:t>7,000</a:t>
          </a:fld>
          <a:endParaRPr lang="en-US" sz="300" b="1">
            <a:solidFill>
              <a:srgbClr val="00CC8D"/>
            </a:solidFill>
          </a:endParaRPr>
        </a:p>
      </xdr:txBody>
    </xdr:sp>
    <xdr:clientData/>
  </xdr:twoCellAnchor>
  <xdr:twoCellAnchor>
    <xdr:from>
      <xdr:col>9</xdr:col>
      <xdr:colOff>271099</xdr:colOff>
      <xdr:row>30</xdr:row>
      <xdr:rowOff>31529</xdr:rowOff>
    </xdr:from>
    <xdr:to>
      <xdr:col>10</xdr:col>
      <xdr:colOff>667974</xdr:colOff>
      <xdr:row>30</xdr:row>
      <xdr:rowOff>182167</xdr:rowOff>
    </xdr:to>
    <xdr:sp macro="" textlink="">
      <xdr:nvSpPr>
        <xdr:cNvPr id="83" name="TextBox 82">
          <a:extLst>
            <a:ext uri="{FF2B5EF4-FFF2-40B4-BE49-F238E27FC236}">
              <a16:creationId xmlns:a16="http://schemas.microsoft.com/office/drawing/2014/main" id="{4FC13799-B851-8D81-0536-A3FAF015A130}"/>
            </a:ext>
          </a:extLst>
        </xdr:cNvPr>
        <xdr:cNvSpPr txBox="1"/>
      </xdr:nvSpPr>
      <xdr:spPr>
        <a:xfrm>
          <a:off x="6469676" y="5966337"/>
          <a:ext cx="1085606" cy="15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lumMod val="95000"/>
                </a:schemeClr>
              </a:solidFill>
            </a:rPr>
            <a:t>Lowest Income</a:t>
          </a:r>
        </a:p>
      </xdr:txBody>
    </xdr:sp>
    <xdr:clientData/>
  </xdr:twoCellAnchor>
  <xdr:twoCellAnchor editAs="oneCell">
    <xdr:from>
      <xdr:col>9</xdr:col>
      <xdr:colOff>195625</xdr:colOff>
      <xdr:row>28</xdr:row>
      <xdr:rowOff>183424</xdr:rowOff>
    </xdr:from>
    <xdr:to>
      <xdr:col>9</xdr:col>
      <xdr:colOff>537213</xdr:colOff>
      <xdr:row>30</xdr:row>
      <xdr:rowOff>151571</xdr:rowOff>
    </xdr:to>
    <xdr:pic>
      <xdr:nvPicPr>
        <xdr:cNvPr id="89" name="Graphic 88" descr="Arrow: Clockwise curve with solid fill">
          <a:extLst>
            <a:ext uri="{FF2B5EF4-FFF2-40B4-BE49-F238E27FC236}">
              <a16:creationId xmlns:a16="http://schemas.microsoft.com/office/drawing/2014/main" id="{96CB391F-FF43-4D0A-AFEE-E084ACC04E9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flipH="1" flipV="1">
          <a:off x="6367825" y="5837464"/>
          <a:ext cx="341588" cy="372007"/>
        </a:xfrm>
        <a:prstGeom prst="rect">
          <a:avLst/>
        </a:prstGeom>
      </xdr:spPr>
    </xdr:pic>
    <xdr:clientData/>
  </xdr:twoCellAnchor>
  <xdr:twoCellAnchor>
    <xdr:from>
      <xdr:col>10</xdr:col>
      <xdr:colOff>633232</xdr:colOff>
      <xdr:row>22</xdr:row>
      <xdr:rowOff>181472</xdr:rowOff>
    </xdr:from>
    <xdr:to>
      <xdr:col>11</xdr:col>
      <xdr:colOff>473132</xdr:colOff>
      <xdr:row>24</xdr:row>
      <xdr:rowOff>126128</xdr:rowOff>
    </xdr:to>
    <xdr:sp macro="" textlink="$U$19">
      <xdr:nvSpPr>
        <xdr:cNvPr id="51" name="TextBox 50">
          <a:extLst>
            <a:ext uri="{FF2B5EF4-FFF2-40B4-BE49-F238E27FC236}">
              <a16:creationId xmlns:a16="http://schemas.microsoft.com/office/drawing/2014/main" id="{05E88A8F-727D-490C-86BA-89EEBC44615D}"/>
            </a:ext>
          </a:extLst>
        </xdr:cNvPr>
        <xdr:cNvSpPr txBox="1"/>
      </xdr:nvSpPr>
      <xdr:spPr>
        <a:xfrm>
          <a:off x="7479326" y="4634410"/>
          <a:ext cx="524509" cy="34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464F9F-66AC-469A-9E34-7F1F68BCAA91}" type="TxLink">
            <a:rPr lang="en-US" sz="1050" b="1" i="0" u="none" strike="noStrike">
              <a:solidFill>
                <a:srgbClr val="E01990"/>
              </a:solidFill>
              <a:latin typeface="Aptos Narrow"/>
            </a:rPr>
            <a:pPr/>
            <a:t>Jan</a:t>
          </a:fld>
          <a:r>
            <a:rPr lang="en-US" sz="1050" b="1" i="0" u="none" strike="noStrike">
              <a:solidFill>
                <a:srgbClr val="E01990"/>
              </a:solidFill>
              <a:latin typeface="Aptos Narrow"/>
            </a:rPr>
            <a:t> |</a:t>
          </a:r>
          <a:endParaRPr lang="en-US" sz="600" b="1">
            <a:solidFill>
              <a:srgbClr val="E01990"/>
            </a:solidFill>
          </a:endParaRPr>
        </a:p>
      </xdr:txBody>
    </xdr:sp>
    <xdr:clientData/>
  </xdr:twoCellAnchor>
  <xdr:twoCellAnchor>
    <xdr:from>
      <xdr:col>11</xdr:col>
      <xdr:colOff>232220</xdr:colOff>
      <xdr:row>22</xdr:row>
      <xdr:rowOff>127708</xdr:rowOff>
    </xdr:from>
    <xdr:to>
      <xdr:col>12</xdr:col>
      <xdr:colOff>159873</xdr:colOff>
      <xdr:row>24</xdr:row>
      <xdr:rowOff>96420</xdr:rowOff>
    </xdr:to>
    <xdr:sp macro="" textlink="$V$18">
      <xdr:nvSpPr>
        <xdr:cNvPr id="52" name="TextBox 51">
          <a:extLst>
            <a:ext uri="{FF2B5EF4-FFF2-40B4-BE49-F238E27FC236}">
              <a16:creationId xmlns:a16="http://schemas.microsoft.com/office/drawing/2014/main" id="{3D50FE32-976B-4993-BC65-6B94B86C248D}"/>
            </a:ext>
          </a:extLst>
        </xdr:cNvPr>
        <xdr:cNvSpPr txBox="1"/>
      </xdr:nvSpPr>
      <xdr:spPr>
        <a:xfrm>
          <a:off x="7762923" y="4580646"/>
          <a:ext cx="612263" cy="373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28F905-C038-4BD7-A753-6068C28B2F03}" type="TxLink">
            <a:rPr lang="en-US" sz="1050" b="1" i="0" u="none" strike="noStrike">
              <a:solidFill>
                <a:srgbClr val="E01990"/>
              </a:solidFill>
              <a:latin typeface="Aptos Narrow"/>
            </a:rPr>
            <a:pPr algn="l"/>
            <a:t>10,000</a:t>
          </a:fld>
          <a:endParaRPr lang="en-US" sz="500" b="1">
            <a:solidFill>
              <a:srgbClr val="E01990"/>
            </a:solidFill>
          </a:endParaRPr>
        </a:p>
      </xdr:txBody>
    </xdr:sp>
    <xdr:clientData/>
  </xdr:twoCellAnchor>
  <xdr:twoCellAnchor>
    <xdr:from>
      <xdr:col>10</xdr:col>
      <xdr:colOff>506760</xdr:colOff>
      <xdr:row>24</xdr:row>
      <xdr:rowOff>23231</xdr:rowOff>
    </xdr:from>
    <xdr:to>
      <xdr:col>12</xdr:col>
      <xdr:colOff>217099</xdr:colOff>
      <xdr:row>24</xdr:row>
      <xdr:rowOff>173671</xdr:rowOff>
    </xdr:to>
    <xdr:sp macro="" textlink="">
      <xdr:nvSpPr>
        <xdr:cNvPr id="56" name="TextBox 55">
          <a:extLst>
            <a:ext uri="{FF2B5EF4-FFF2-40B4-BE49-F238E27FC236}">
              <a16:creationId xmlns:a16="http://schemas.microsoft.com/office/drawing/2014/main" id="{23113AFC-D204-4C31-B5E4-D342CC22A7A3}"/>
            </a:ext>
          </a:extLst>
        </xdr:cNvPr>
        <xdr:cNvSpPr txBox="1"/>
      </xdr:nvSpPr>
      <xdr:spPr>
        <a:xfrm>
          <a:off x="7352854" y="4880981"/>
          <a:ext cx="1079558" cy="150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lumMod val="95000"/>
                </a:schemeClr>
              </a:solidFill>
            </a:rPr>
            <a:t>Highest Expenses</a:t>
          </a:r>
        </a:p>
      </xdr:txBody>
    </xdr:sp>
    <xdr:clientData/>
  </xdr:twoCellAnchor>
  <xdr:twoCellAnchor>
    <xdr:from>
      <xdr:col>10</xdr:col>
      <xdr:colOff>630357</xdr:colOff>
      <xdr:row>26</xdr:row>
      <xdr:rowOff>19899</xdr:rowOff>
    </xdr:from>
    <xdr:to>
      <xdr:col>11</xdr:col>
      <xdr:colOff>505558</xdr:colOff>
      <xdr:row>27</xdr:row>
      <xdr:rowOff>160090</xdr:rowOff>
    </xdr:to>
    <xdr:sp macro="" textlink="$U$22">
      <xdr:nvSpPr>
        <xdr:cNvPr id="86" name="TextBox 85">
          <a:extLst>
            <a:ext uri="{FF2B5EF4-FFF2-40B4-BE49-F238E27FC236}">
              <a16:creationId xmlns:a16="http://schemas.microsoft.com/office/drawing/2014/main" id="{9E1D06C4-77EB-3037-09AF-6DA9B6640B96}"/>
            </a:ext>
          </a:extLst>
        </xdr:cNvPr>
        <xdr:cNvSpPr txBox="1"/>
      </xdr:nvSpPr>
      <xdr:spPr>
        <a:xfrm>
          <a:off x="7517665" y="5163399"/>
          <a:ext cx="563931" cy="338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E604E9-F44C-406E-A90B-EA243C0513AE}" type="TxLink">
            <a:rPr lang="en-US" sz="1050" b="1" i="0" u="none" strike="noStrike">
              <a:solidFill>
                <a:srgbClr val="E01990"/>
              </a:solidFill>
              <a:latin typeface="Aptos Narrow"/>
            </a:rPr>
            <a:pPr/>
            <a:t>Dec</a:t>
          </a:fld>
          <a:r>
            <a:rPr lang="en-US" sz="1050" b="1" i="0" u="none" strike="noStrike">
              <a:solidFill>
                <a:srgbClr val="E01990"/>
              </a:solidFill>
              <a:latin typeface="Aptos Narrow"/>
            </a:rPr>
            <a:t> |</a:t>
          </a:r>
          <a:endParaRPr lang="en-US" sz="400" b="1">
            <a:solidFill>
              <a:srgbClr val="E01990"/>
            </a:solidFill>
          </a:endParaRPr>
        </a:p>
      </xdr:txBody>
    </xdr:sp>
    <xdr:clientData/>
  </xdr:twoCellAnchor>
  <xdr:twoCellAnchor>
    <xdr:from>
      <xdr:col>11</xdr:col>
      <xdr:colOff>270030</xdr:colOff>
      <xdr:row>25</xdr:row>
      <xdr:rowOff>167724</xdr:rowOff>
    </xdr:from>
    <xdr:to>
      <xdr:col>12</xdr:col>
      <xdr:colOff>198236</xdr:colOff>
      <xdr:row>27</xdr:row>
      <xdr:rowOff>133356</xdr:rowOff>
    </xdr:to>
    <xdr:sp macro="" textlink="$V$21">
      <xdr:nvSpPr>
        <xdr:cNvPr id="87" name="TextBox 86">
          <a:extLst>
            <a:ext uri="{FF2B5EF4-FFF2-40B4-BE49-F238E27FC236}">
              <a16:creationId xmlns:a16="http://schemas.microsoft.com/office/drawing/2014/main" id="{D3AA14D2-C617-D00F-164F-DF4449D85175}"/>
            </a:ext>
          </a:extLst>
        </xdr:cNvPr>
        <xdr:cNvSpPr txBox="1"/>
      </xdr:nvSpPr>
      <xdr:spPr>
        <a:xfrm>
          <a:off x="7846068" y="5113397"/>
          <a:ext cx="616937" cy="361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9E55DC-BFFF-455F-941B-C590E0C7D0E0}" type="TxLink">
            <a:rPr lang="en-US" sz="1050" b="1" i="0" u="none" strike="noStrike">
              <a:solidFill>
                <a:srgbClr val="E01990"/>
              </a:solidFill>
              <a:latin typeface="Aptos Narrow"/>
            </a:rPr>
            <a:pPr algn="l"/>
            <a:t>2,393</a:t>
          </a:fld>
          <a:endParaRPr lang="en-US" sz="300" b="1">
            <a:solidFill>
              <a:srgbClr val="E01990"/>
            </a:solidFill>
          </a:endParaRPr>
        </a:p>
      </xdr:txBody>
    </xdr:sp>
    <xdr:clientData/>
  </xdr:twoCellAnchor>
  <xdr:twoCellAnchor>
    <xdr:from>
      <xdr:col>10</xdr:col>
      <xdr:colOff>502919</xdr:colOff>
      <xdr:row>27</xdr:row>
      <xdr:rowOff>60567</xdr:rowOff>
    </xdr:from>
    <xdr:to>
      <xdr:col>12</xdr:col>
      <xdr:colOff>213258</xdr:colOff>
      <xdr:row>28</xdr:row>
      <xdr:rowOff>8251</xdr:rowOff>
    </xdr:to>
    <xdr:sp macro="" textlink="">
      <xdr:nvSpPr>
        <xdr:cNvPr id="88" name="TextBox 87">
          <a:extLst>
            <a:ext uri="{FF2B5EF4-FFF2-40B4-BE49-F238E27FC236}">
              <a16:creationId xmlns:a16="http://schemas.microsoft.com/office/drawing/2014/main" id="{43A2C792-3D49-3F1B-453C-CFB7988B3CDC}"/>
            </a:ext>
          </a:extLst>
        </xdr:cNvPr>
        <xdr:cNvSpPr txBox="1"/>
      </xdr:nvSpPr>
      <xdr:spPr>
        <a:xfrm>
          <a:off x="7390227" y="5401894"/>
          <a:ext cx="1087800" cy="145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lumMod val="95000"/>
                </a:schemeClr>
              </a:solidFill>
            </a:rPr>
            <a:t>Average Expenses</a:t>
          </a:r>
        </a:p>
      </xdr:txBody>
    </xdr:sp>
    <xdr:clientData/>
  </xdr:twoCellAnchor>
  <xdr:twoCellAnchor>
    <xdr:from>
      <xdr:col>10</xdr:col>
      <xdr:colOff>630357</xdr:colOff>
      <xdr:row>28</xdr:row>
      <xdr:rowOff>190930</xdr:rowOff>
    </xdr:from>
    <xdr:to>
      <xdr:col>11</xdr:col>
      <xdr:colOff>470140</xdr:colOff>
      <xdr:row>30</xdr:row>
      <xdr:rowOff>137262</xdr:rowOff>
    </xdr:to>
    <xdr:sp macro="" textlink="$U$25">
      <xdr:nvSpPr>
        <xdr:cNvPr id="91" name="TextBox 90">
          <a:extLst>
            <a:ext uri="{FF2B5EF4-FFF2-40B4-BE49-F238E27FC236}">
              <a16:creationId xmlns:a16="http://schemas.microsoft.com/office/drawing/2014/main" id="{ACE5A7C0-817F-8AB5-D7E3-759C97087313}"/>
            </a:ext>
          </a:extLst>
        </xdr:cNvPr>
        <xdr:cNvSpPr txBox="1"/>
      </xdr:nvSpPr>
      <xdr:spPr>
        <a:xfrm>
          <a:off x="7517665" y="5730084"/>
          <a:ext cx="528513" cy="341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B45B05-669B-453D-A847-03C338F78B69}" type="TxLink">
            <a:rPr lang="en-US" sz="1050" b="1" i="0" u="none" strike="noStrike">
              <a:solidFill>
                <a:srgbClr val="E01990"/>
              </a:solidFill>
              <a:latin typeface="Aptos Narrow"/>
            </a:rPr>
            <a:pPr/>
            <a:t>Apr</a:t>
          </a:fld>
          <a:r>
            <a:rPr lang="en-US" sz="1050" b="1" i="0" u="none" strike="noStrike">
              <a:solidFill>
                <a:srgbClr val="E01990"/>
              </a:solidFill>
              <a:latin typeface="Aptos Narrow"/>
            </a:rPr>
            <a:t> |</a:t>
          </a:r>
          <a:endParaRPr lang="en-US" sz="200" b="1">
            <a:solidFill>
              <a:srgbClr val="E01990"/>
            </a:solidFill>
          </a:endParaRPr>
        </a:p>
      </xdr:txBody>
    </xdr:sp>
    <xdr:clientData/>
  </xdr:twoCellAnchor>
  <xdr:twoCellAnchor>
    <xdr:from>
      <xdr:col>11</xdr:col>
      <xdr:colOff>248142</xdr:colOff>
      <xdr:row>28</xdr:row>
      <xdr:rowOff>138288</xdr:rowOff>
    </xdr:from>
    <xdr:to>
      <xdr:col>12</xdr:col>
      <xdr:colOff>176348</xdr:colOff>
      <xdr:row>30</xdr:row>
      <xdr:rowOff>108161</xdr:rowOff>
    </xdr:to>
    <xdr:sp macro="" textlink="$V$24">
      <xdr:nvSpPr>
        <xdr:cNvPr id="92" name="TextBox 91">
          <a:extLst>
            <a:ext uri="{FF2B5EF4-FFF2-40B4-BE49-F238E27FC236}">
              <a16:creationId xmlns:a16="http://schemas.microsoft.com/office/drawing/2014/main" id="{97CAD75C-8EF9-03F6-6505-6F805A503D28}"/>
            </a:ext>
          </a:extLst>
        </xdr:cNvPr>
        <xdr:cNvSpPr txBox="1"/>
      </xdr:nvSpPr>
      <xdr:spPr>
        <a:xfrm>
          <a:off x="7824180" y="5677442"/>
          <a:ext cx="616937" cy="36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233229-FBAE-4117-94A0-643602A855DF}" type="TxLink">
            <a:rPr lang="en-US" sz="1200" b="1" i="0" u="none" strike="noStrike">
              <a:solidFill>
                <a:srgbClr val="E01990"/>
              </a:solidFill>
              <a:latin typeface="Aptos Narrow"/>
            </a:rPr>
            <a:pPr algn="l"/>
            <a:t>250</a:t>
          </a:fld>
          <a:endParaRPr lang="en-US" sz="300" b="1">
            <a:solidFill>
              <a:srgbClr val="E01990"/>
            </a:solidFill>
          </a:endParaRPr>
        </a:p>
      </xdr:txBody>
    </xdr:sp>
    <xdr:clientData/>
  </xdr:twoCellAnchor>
  <xdr:twoCellAnchor>
    <xdr:from>
      <xdr:col>10</xdr:col>
      <xdr:colOff>502919</xdr:colOff>
      <xdr:row>30</xdr:row>
      <xdr:rowOff>36570</xdr:rowOff>
    </xdr:from>
    <xdr:to>
      <xdr:col>12</xdr:col>
      <xdr:colOff>213258</xdr:colOff>
      <xdr:row>30</xdr:row>
      <xdr:rowOff>183790</xdr:rowOff>
    </xdr:to>
    <xdr:sp macro="" textlink="">
      <xdr:nvSpPr>
        <xdr:cNvPr id="93" name="TextBox 92">
          <a:extLst>
            <a:ext uri="{FF2B5EF4-FFF2-40B4-BE49-F238E27FC236}">
              <a16:creationId xmlns:a16="http://schemas.microsoft.com/office/drawing/2014/main" id="{47D6210B-889D-4899-A86D-AE33542AB38D}"/>
            </a:ext>
          </a:extLst>
        </xdr:cNvPr>
        <xdr:cNvSpPr txBox="1"/>
      </xdr:nvSpPr>
      <xdr:spPr>
        <a:xfrm>
          <a:off x="7390227" y="5971378"/>
          <a:ext cx="1087800" cy="14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lumMod val="95000"/>
                </a:schemeClr>
              </a:solidFill>
            </a:rPr>
            <a:t>Lowest Expenses</a:t>
          </a:r>
        </a:p>
      </xdr:txBody>
    </xdr:sp>
    <xdr:clientData/>
  </xdr:twoCellAnchor>
  <xdr:twoCellAnchor>
    <xdr:from>
      <xdr:col>9</xdr:col>
      <xdr:colOff>135342</xdr:colOff>
      <xdr:row>4</xdr:row>
      <xdr:rowOff>201607</xdr:rowOff>
    </xdr:from>
    <xdr:to>
      <xdr:col>12</xdr:col>
      <xdr:colOff>230592</xdr:colOff>
      <xdr:row>13</xdr:row>
      <xdr:rowOff>125363</xdr:rowOff>
    </xdr:to>
    <xdr:graphicFrame macro="">
      <xdr:nvGraphicFramePr>
        <xdr:cNvPr id="94" name="Chart 93">
          <a:extLst>
            <a:ext uri="{FF2B5EF4-FFF2-40B4-BE49-F238E27FC236}">
              <a16:creationId xmlns:a16="http://schemas.microsoft.com/office/drawing/2014/main" id="{F55F6A4F-1F3B-4F62-A950-15D554001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88426</xdr:colOff>
      <xdr:row>15</xdr:row>
      <xdr:rowOff>80223</xdr:rowOff>
    </xdr:from>
    <xdr:to>
      <xdr:col>12</xdr:col>
      <xdr:colOff>204107</xdr:colOff>
      <xdr:row>17</xdr:row>
      <xdr:rowOff>204106</xdr:rowOff>
    </xdr:to>
    <xdr:sp macro="" textlink="$U$6">
      <xdr:nvSpPr>
        <xdr:cNvPr id="96" name="TextBox 95">
          <a:extLst>
            <a:ext uri="{FF2B5EF4-FFF2-40B4-BE49-F238E27FC236}">
              <a16:creationId xmlns:a16="http://schemas.microsoft.com/office/drawing/2014/main" id="{E4013309-B81F-4BE6-9691-300C59B99D1C}"/>
            </a:ext>
          </a:extLst>
        </xdr:cNvPr>
        <xdr:cNvSpPr txBox="1"/>
      </xdr:nvSpPr>
      <xdr:spPr>
        <a:xfrm>
          <a:off x="6989191" y="3141830"/>
          <a:ext cx="1495834" cy="532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E7A753-EB74-47A0-A32B-78727B08D07E}" type="TxLink">
            <a:rPr lang="en-US" sz="800" b="0" i="0" u="none" strike="noStrike">
              <a:solidFill>
                <a:srgbClr val="2CB6F4"/>
              </a:solidFill>
              <a:latin typeface="Aptos Narrow"/>
            </a:rPr>
            <a:pPr/>
            <a:t>The value is above the target, showing a positive result.</a:t>
          </a:fld>
          <a:endParaRPr lang="en-US" sz="100">
            <a:solidFill>
              <a:srgbClr val="2CB6F4"/>
            </a:solidFill>
          </a:endParaRPr>
        </a:p>
      </xdr:txBody>
    </xdr:sp>
    <xdr:clientData/>
  </xdr:twoCellAnchor>
  <xdr:twoCellAnchor>
    <xdr:from>
      <xdr:col>10</xdr:col>
      <xdr:colOff>106913</xdr:colOff>
      <xdr:row>16</xdr:row>
      <xdr:rowOff>199303</xdr:rowOff>
    </xdr:from>
    <xdr:to>
      <xdr:col>12</xdr:col>
      <xdr:colOff>154444</xdr:colOff>
      <xdr:row>19</xdr:row>
      <xdr:rowOff>174949</xdr:rowOff>
    </xdr:to>
    <xdr:sp macro="" textlink="$U$7">
      <xdr:nvSpPr>
        <xdr:cNvPr id="97" name="TextBox 96">
          <a:extLst>
            <a:ext uri="{FF2B5EF4-FFF2-40B4-BE49-F238E27FC236}">
              <a16:creationId xmlns:a16="http://schemas.microsoft.com/office/drawing/2014/main" id="{2977F6A3-5892-4773-8868-76069CF0654A}"/>
            </a:ext>
          </a:extLst>
        </xdr:cNvPr>
        <xdr:cNvSpPr txBox="1"/>
      </xdr:nvSpPr>
      <xdr:spPr>
        <a:xfrm>
          <a:off x="7007678" y="3465017"/>
          <a:ext cx="1427684" cy="587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CEACFE-D47B-4360-B6DA-FBEAC1B61489}" type="TxLink">
            <a:rPr lang="en-US" sz="800" b="0" i="0" u="none" strike="noStrike">
              <a:solidFill>
                <a:srgbClr val="2CB6F4"/>
              </a:solidFill>
              <a:latin typeface="Aptos Narrow"/>
            </a:rPr>
            <a:pPr/>
            <a:t>You spent more than planned on wants like dining out, shopping, or entertainment Etc.</a:t>
          </a:fld>
          <a:endParaRPr lang="en-US" sz="100">
            <a:solidFill>
              <a:srgbClr val="2CB6F4"/>
            </a:solidFill>
          </a:endParaRPr>
        </a:p>
      </xdr:txBody>
    </xdr:sp>
    <xdr:clientData/>
  </xdr:twoCellAnchor>
  <xdr:twoCellAnchor>
    <xdr:from>
      <xdr:col>9</xdr:col>
      <xdr:colOff>154418</xdr:colOff>
      <xdr:row>3</xdr:row>
      <xdr:rowOff>202140</xdr:rowOff>
    </xdr:from>
    <xdr:to>
      <xdr:col>11</xdr:col>
      <xdr:colOff>452074</xdr:colOff>
      <xdr:row>5</xdr:row>
      <xdr:rowOff>15891</xdr:rowOff>
    </xdr:to>
    <xdr:sp macro="" textlink="">
      <xdr:nvSpPr>
        <xdr:cNvPr id="98" name="TextBox 97">
          <a:extLst>
            <a:ext uri="{FF2B5EF4-FFF2-40B4-BE49-F238E27FC236}">
              <a16:creationId xmlns:a16="http://schemas.microsoft.com/office/drawing/2014/main" id="{8AEDF52C-BEF3-BF43-55B1-047D59577795}"/>
            </a:ext>
          </a:extLst>
        </xdr:cNvPr>
        <xdr:cNvSpPr txBox="1"/>
      </xdr:nvSpPr>
      <xdr:spPr>
        <a:xfrm>
          <a:off x="6365107" y="814461"/>
          <a:ext cx="1677809" cy="221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CB6F4"/>
              </a:solidFill>
            </a:rPr>
            <a:t>Financial Advisor</a:t>
          </a:r>
        </a:p>
      </xdr:txBody>
    </xdr:sp>
    <xdr:clientData/>
  </xdr:twoCellAnchor>
  <xdr:twoCellAnchor>
    <xdr:from>
      <xdr:col>12</xdr:col>
      <xdr:colOff>295603</xdr:colOff>
      <xdr:row>4</xdr:row>
      <xdr:rowOff>34684</xdr:rowOff>
    </xdr:from>
    <xdr:to>
      <xdr:col>14</xdr:col>
      <xdr:colOff>643758</xdr:colOff>
      <xdr:row>7</xdr:row>
      <xdr:rowOff>84215</xdr:rowOff>
    </xdr:to>
    <mc:AlternateContent xmlns:mc="http://schemas.openxmlformats.org/markup-compatibility/2006" xmlns:a14="http://schemas.microsoft.com/office/drawing/2010/main">
      <mc:Choice Requires="a14">
        <xdr:graphicFrame macro="">
          <xdr:nvGraphicFramePr>
            <xdr:cNvPr id="101" name="Month 2">
              <a:extLst>
                <a:ext uri="{FF2B5EF4-FFF2-40B4-BE49-F238E27FC236}">
                  <a16:creationId xmlns:a16="http://schemas.microsoft.com/office/drawing/2014/main" id="{4D86BAE4-BF1E-44FD-A869-D61A4FFD150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8545081" y="829814"/>
              <a:ext cx="1723068" cy="645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97194</xdr:colOff>
      <xdr:row>13</xdr:row>
      <xdr:rowOff>41643</xdr:rowOff>
    </xdr:from>
    <xdr:to>
      <xdr:col>12</xdr:col>
      <xdr:colOff>203527</xdr:colOff>
      <xdr:row>15</xdr:row>
      <xdr:rowOff>155510</xdr:rowOff>
    </xdr:to>
    <xdr:sp macro="" textlink="$U$5">
      <xdr:nvSpPr>
        <xdr:cNvPr id="95" name="TextBox 94">
          <a:extLst>
            <a:ext uri="{FF2B5EF4-FFF2-40B4-BE49-F238E27FC236}">
              <a16:creationId xmlns:a16="http://schemas.microsoft.com/office/drawing/2014/main" id="{F4B3D05D-B874-102E-B7F1-03FBCEE1907A}"/>
            </a:ext>
          </a:extLst>
        </xdr:cNvPr>
        <xdr:cNvSpPr txBox="1"/>
      </xdr:nvSpPr>
      <xdr:spPr>
        <a:xfrm>
          <a:off x="6997959" y="2695036"/>
          <a:ext cx="1486486" cy="522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08ABA95-098F-4148-8E82-145D1041A707}" type="TxLink">
            <a:rPr lang="en-US" sz="800" b="0" i="0" u="none" strike="noStrike">
              <a:solidFill>
                <a:srgbClr val="2CB6F4"/>
              </a:solidFill>
              <a:latin typeface="Aptos Narrow"/>
            </a:rPr>
            <a:pPr algn="l"/>
            <a:t>Expenses are below budget, showing controlled essential spending.</a:t>
          </a:fld>
          <a:endParaRPr lang="en-US" sz="100">
            <a:solidFill>
              <a:srgbClr val="2CB6F4"/>
            </a:solidFill>
          </a:endParaRPr>
        </a:p>
      </xdr:txBody>
    </xdr:sp>
    <xdr:clientData/>
  </xdr:twoCellAnchor>
  <xdr:twoCellAnchor>
    <xdr:from>
      <xdr:col>12</xdr:col>
      <xdr:colOff>314085</xdr:colOff>
      <xdr:row>4</xdr:row>
      <xdr:rowOff>39257</xdr:rowOff>
    </xdr:from>
    <xdr:to>
      <xdr:col>14</xdr:col>
      <xdr:colOff>215013</xdr:colOff>
      <xdr:row>5</xdr:row>
      <xdr:rowOff>32944</xdr:rowOff>
    </xdr:to>
    <xdr:sp macro="" textlink="">
      <xdr:nvSpPr>
        <xdr:cNvPr id="102" name="TextBox 101">
          <a:extLst>
            <a:ext uri="{FF2B5EF4-FFF2-40B4-BE49-F238E27FC236}">
              <a16:creationId xmlns:a16="http://schemas.microsoft.com/office/drawing/2014/main" id="{F2F7D38C-EC73-458A-A0EA-56F14011C092}"/>
            </a:ext>
          </a:extLst>
        </xdr:cNvPr>
        <xdr:cNvSpPr txBox="1"/>
      </xdr:nvSpPr>
      <xdr:spPr>
        <a:xfrm>
          <a:off x="8600835" y="848882"/>
          <a:ext cx="1282053" cy="196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700">
              <a:solidFill>
                <a:schemeClr val="bg2"/>
              </a:solidFill>
            </a:rPr>
            <a:t>Select Month:</a:t>
          </a:r>
        </a:p>
      </xdr:txBody>
    </xdr:sp>
    <xdr:clientData/>
  </xdr:twoCellAnchor>
  <xdr:twoCellAnchor>
    <xdr:from>
      <xdr:col>12</xdr:col>
      <xdr:colOff>386705</xdr:colOff>
      <xdr:row>7</xdr:row>
      <xdr:rowOff>57457</xdr:rowOff>
    </xdr:from>
    <xdr:to>
      <xdr:col>14</xdr:col>
      <xdr:colOff>524506</xdr:colOff>
      <xdr:row>8</xdr:row>
      <xdr:rowOff>85952</xdr:rowOff>
    </xdr:to>
    <xdr:sp macro="" textlink="$U$9">
      <xdr:nvSpPr>
        <xdr:cNvPr id="103" name="TextBox 102">
          <a:extLst>
            <a:ext uri="{FF2B5EF4-FFF2-40B4-BE49-F238E27FC236}">
              <a16:creationId xmlns:a16="http://schemas.microsoft.com/office/drawing/2014/main" id="{58F670FC-EE9D-7937-476F-5A27905E4D92}"/>
            </a:ext>
          </a:extLst>
        </xdr:cNvPr>
        <xdr:cNvSpPr txBox="1"/>
      </xdr:nvSpPr>
      <xdr:spPr>
        <a:xfrm>
          <a:off x="8602018" y="1474301"/>
          <a:ext cx="1507019" cy="230901"/>
        </a:xfrm>
        <a:prstGeom prst="rect">
          <a:avLst/>
        </a:prstGeom>
        <a:solidFill>
          <a:srgbClr val="E019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A3D2CB-E427-4485-BE51-AC3F6DC313CA}" type="TxLink">
            <a:rPr lang="en-US" sz="1200" b="1" i="0" u="none" strike="noStrike">
              <a:solidFill>
                <a:schemeClr val="bg2"/>
              </a:solidFill>
              <a:latin typeface="Aptos Narrow"/>
            </a:rPr>
            <a:pPr algn="ctr"/>
            <a:t>Apr</a:t>
          </a:fld>
          <a:r>
            <a:rPr lang="en-US" sz="1200" b="1" i="0" u="none" strike="noStrike">
              <a:solidFill>
                <a:schemeClr val="bg2"/>
              </a:solidFill>
              <a:latin typeface="Aptos Narrow"/>
            </a:rPr>
            <a:t> </a:t>
          </a:r>
          <a:r>
            <a:rPr lang="en-US" sz="1200" b="0" i="0" u="none" strike="noStrike">
              <a:solidFill>
                <a:schemeClr val="bg2"/>
              </a:solidFill>
              <a:latin typeface="Aptos Narrow"/>
            </a:rPr>
            <a:t>Total Expenses</a:t>
          </a:r>
          <a:endParaRPr lang="en-US" sz="700" b="1">
            <a:solidFill>
              <a:schemeClr val="bg2"/>
            </a:solidFill>
          </a:endParaRPr>
        </a:p>
      </xdr:txBody>
    </xdr:sp>
    <xdr:clientData/>
  </xdr:twoCellAnchor>
  <xdr:twoCellAnchor>
    <xdr:from>
      <xdr:col>12</xdr:col>
      <xdr:colOff>388724</xdr:colOff>
      <xdr:row>8</xdr:row>
      <xdr:rowOff>80049</xdr:rowOff>
    </xdr:from>
    <xdr:to>
      <xdr:col>14</xdr:col>
      <xdr:colOff>526525</xdr:colOff>
      <xdr:row>10</xdr:row>
      <xdr:rowOff>127101</xdr:rowOff>
    </xdr:to>
    <xdr:sp macro="" textlink="$U$10">
      <xdr:nvSpPr>
        <xdr:cNvPr id="106" name="TextBox 105">
          <a:extLst>
            <a:ext uri="{FF2B5EF4-FFF2-40B4-BE49-F238E27FC236}">
              <a16:creationId xmlns:a16="http://schemas.microsoft.com/office/drawing/2014/main" id="{F05B9E82-E913-4A2B-B116-5407CD3A1772}"/>
            </a:ext>
          </a:extLst>
        </xdr:cNvPr>
        <xdr:cNvSpPr txBox="1"/>
      </xdr:nvSpPr>
      <xdr:spPr>
        <a:xfrm>
          <a:off x="8604037" y="1699299"/>
          <a:ext cx="1507019" cy="4518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5D8E1E-ED0C-4949-A739-5B3DD48E4894}" type="TxLink">
            <a:rPr lang="en-US" sz="2800" b="1" i="0" u="none" strike="noStrike">
              <a:solidFill>
                <a:schemeClr val="tx1"/>
              </a:solidFill>
              <a:latin typeface="Aptos Narrow"/>
            </a:rPr>
            <a:pPr algn="ctr"/>
            <a:t>48,480</a:t>
          </a:fld>
          <a:endParaRPr lang="en-US" sz="4800" b="1">
            <a:solidFill>
              <a:schemeClr val="tx1"/>
            </a:solidFill>
          </a:endParaRPr>
        </a:p>
      </xdr:txBody>
    </xdr:sp>
    <xdr:clientData/>
  </xdr:twoCellAnchor>
  <xdr:twoCellAnchor>
    <xdr:from>
      <xdr:col>12</xdr:col>
      <xdr:colOff>384564</xdr:colOff>
      <xdr:row>10</xdr:row>
      <xdr:rowOff>51785</xdr:rowOff>
    </xdr:from>
    <xdr:to>
      <xdr:col>14</xdr:col>
      <xdr:colOff>525522</xdr:colOff>
      <xdr:row>12</xdr:row>
      <xdr:rowOff>97573</xdr:rowOff>
    </xdr:to>
    <xdr:sp macro="" textlink="$U$11">
      <xdr:nvSpPr>
        <xdr:cNvPr id="107" name="TextBox 106">
          <a:extLst>
            <a:ext uri="{FF2B5EF4-FFF2-40B4-BE49-F238E27FC236}">
              <a16:creationId xmlns:a16="http://schemas.microsoft.com/office/drawing/2014/main" id="{5D356067-D478-431B-BB99-39CB172C1E4B}"/>
            </a:ext>
          </a:extLst>
        </xdr:cNvPr>
        <xdr:cNvSpPr txBox="1"/>
      </xdr:nvSpPr>
      <xdr:spPr>
        <a:xfrm>
          <a:off x="8614164" y="2083785"/>
          <a:ext cx="1512558" cy="45218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88A15D-3BF5-4B63-A6A6-0D8EC367089F}" type="TxLink">
            <a:rPr lang="en-US" sz="1000" b="1" i="0" u="none" strike="noStrike">
              <a:solidFill>
                <a:srgbClr val="000000"/>
              </a:solidFill>
              <a:latin typeface="Aptos Narrow"/>
            </a:rPr>
            <a:pPr algn="ctr"/>
            <a:t> </a:t>
          </a:fld>
          <a:endParaRPr lang="en-US" sz="1000" b="1" i="0" u="none" strike="noStrike">
            <a:solidFill>
              <a:srgbClr val="000000"/>
            </a:solidFill>
            <a:latin typeface="Aptos Narrow"/>
          </a:endParaRPr>
        </a:p>
        <a:p>
          <a:pPr algn="ctr"/>
          <a:r>
            <a:rPr lang="en-US" sz="1000" b="1" i="0" u="none" strike="noStrike">
              <a:solidFill>
                <a:srgbClr val="000000"/>
              </a:solidFill>
              <a:latin typeface="Aptos Narrow"/>
            </a:rPr>
            <a:t>vs</a:t>
          </a:r>
          <a:r>
            <a:rPr lang="en-US" sz="1000" b="1" i="0" u="none" strike="noStrike" baseline="0">
              <a:solidFill>
                <a:srgbClr val="000000"/>
              </a:solidFill>
              <a:latin typeface="Aptos Narrow"/>
            </a:rPr>
            <a:t> Previous Month</a:t>
          </a:r>
          <a:endParaRPr lang="en-US" sz="1000" b="1"/>
        </a:p>
      </xdr:txBody>
    </xdr:sp>
    <xdr:clientData/>
  </xdr:twoCellAnchor>
  <xdr:twoCellAnchor>
    <xdr:from>
      <xdr:col>15</xdr:col>
      <xdr:colOff>32333</xdr:colOff>
      <xdr:row>4</xdr:row>
      <xdr:rowOff>78239</xdr:rowOff>
    </xdr:from>
    <xdr:to>
      <xdr:col>16</xdr:col>
      <xdr:colOff>618872</xdr:colOff>
      <xdr:row>5</xdr:row>
      <xdr:rowOff>74986</xdr:rowOff>
    </xdr:to>
    <xdr:sp macro="" textlink="">
      <xdr:nvSpPr>
        <xdr:cNvPr id="37" name="TextBox 36">
          <a:extLst>
            <a:ext uri="{FF2B5EF4-FFF2-40B4-BE49-F238E27FC236}">
              <a16:creationId xmlns:a16="http://schemas.microsoft.com/office/drawing/2014/main" id="{6D37A360-F6C9-4734-927F-A4FA9D142670}"/>
            </a:ext>
          </a:extLst>
        </xdr:cNvPr>
        <xdr:cNvSpPr txBox="1"/>
      </xdr:nvSpPr>
      <xdr:spPr>
        <a:xfrm>
          <a:off x="10363295" y="869547"/>
          <a:ext cx="1275269" cy="194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bg2"/>
              </a:solidFill>
            </a:rPr>
            <a:t>Hello there,</a:t>
          </a:r>
        </a:p>
      </xdr:txBody>
    </xdr:sp>
    <xdr:clientData/>
  </xdr:twoCellAnchor>
  <xdr:twoCellAnchor>
    <xdr:from>
      <xdr:col>12</xdr:col>
      <xdr:colOff>285684</xdr:colOff>
      <xdr:row>13</xdr:row>
      <xdr:rowOff>108857</xdr:rowOff>
    </xdr:from>
    <xdr:to>
      <xdr:col>15</xdr:col>
      <xdr:colOff>439768</xdr:colOff>
      <xdr:row>14</xdr:row>
      <xdr:rowOff>105523</xdr:rowOff>
    </xdr:to>
    <xdr:sp macro="" textlink="">
      <xdr:nvSpPr>
        <xdr:cNvPr id="151" name="TextBox 150">
          <a:extLst>
            <a:ext uri="{FF2B5EF4-FFF2-40B4-BE49-F238E27FC236}">
              <a16:creationId xmlns:a16="http://schemas.microsoft.com/office/drawing/2014/main" id="{F6271745-C801-401E-93C6-B206A71E09F1}"/>
            </a:ext>
          </a:extLst>
        </xdr:cNvPr>
        <xdr:cNvSpPr txBox="1"/>
      </xdr:nvSpPr>
      <xdr:spPr>
        <a:xfrm>
          <a:off x="8515284" y="2709182"/>
          <a:ext cx="2211484" cy="19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bg2"/>
              </a:solidFill>
            </a:rPr>
            <a:t>List of all</a:t>
          </a:r>
          <a:r>
            <a:rPr lang="en-US" sz="1000" baseline="0">
              <a:solidFill>
                <a:schemeClr val="bg2"/>
              </a:solidFill>
            </a:rPr>
            <a:t> </a:t>
          </a:r>
          <a:r>
            <a:rPr lang="en-US" sz="1000" baseline="0">
              <a:solidFill>
                <a:srgbClr val="E01990"/>
              </a:solidFill>
            </a:rPr>
            <a:t>expenses</a:t>
          </a:r>
          <a:r>
            <a:rPr lang="en-US" sz="1000" baseline="0">
              <a:solidFill>
                <a:schemeClr val="bg2"/>
              </a:solidFill>
            </a:rPr>
            <a:t> by Category</a:t>
          </a:r>
          <a:endParaRPr lang="en-US" sz="1000">
            <a:solidFill>
              <a:schemeClr val="bg2"/>
            </a:solidFill>
          </a:endParaRPr>
        </a:p>
      </xdr:txBody>
    </xdr:sp>
    <xdr:clientData/>
  </xdr:twoCellAnchor>
  <xdr:twoCellAnchor>
    <xdr:from>
      <xdr:col>12</xdr:col>
      <xdr:colOff>313052</xdr:colOff>
      <xdr:row>14</xdr:row>
      <xdr:rowOff>130542</xdr:rowOff>
    </xdr:from>
    <xdr:to>
      <xdr:col>13</xdr:col>
      <xdr:colOff>404364</xdr:colOff>
      <xdr:row>15</xdr:row>
      <xdr:rowOff>127209</xdr:rowOff>
    </xdr:to>
    <xdr:sp macro="" textlink="$U$13">
      <xdr:nvSpPr>
        <xdr:cNvPr id="152" name="TextBox 151">
          <a:extLst>
            <a:ext uri="{FF2B5EF4-FFF2-40B4-BE49-F238E27FC236}">
              <a16:creationId xmlns:a16="http://schemas.microsoft.com/office/drawing/2014/main" id="{12B97CB7-5391-47BB-A8DB-E7AD00E12CA7}"/>
            </a:ext>
          </a:extLst>
        </xdr:cNvPr>
        <xdr:cNvSpPr txBox="1"/>
      </xdr:nvSpPr>
      <xdr:spPr>
        <a:xfrm>
          <a:off x="8528365" y="2964230"/>
          <a:ext cx="775921" cy="19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21CB361-67B1-4EE0-9E8A-1A3F29703114}" type="TxLink">
            <a:rPr lang="en-US" sz="1100" b="1" i="0" u="none" strike="noStrike">
              <a:solidFill>
                <a:srgbClr val="E01990"/>
              </a:solidFill>
              <a:latin typeface="Aptos Narrow"/>
            </a:rPr>
            <a:pPr algn="l"/>
            <a:t>23.46%</a:t>
          </a:fld>
          <a:endParaRPr lang="en-US" sz="1050" b="1">
            <a:solidFill>
              <a:srgbClr val="E01990"/>
            </a:solidFill>
          </a:endParaRPr>
        </a:p>
      </xdr:txBody>
    </xdr:sp>
    <xdr:clientData/>
  </xdr:twoCellAnchor>
  <xdr:twoCellAnchor>
    <xdr:from>
      <xdr:col>13</xdr:col>
      <xdr:colOff>138575</xdr:colOff>
      <xdr:row>14</xdr:row>
      <xdr:rowOff>116164</xdr:rowOff>
    </xdr:from>
    <xdr:to>
      <xdr:col>14</xdr:col>
      <xdr:colOff>229887</xdr:colOff>
      <xdr:row>15</xdr:row>
      <xdr:rowOff>112831</xdr:rowOff>
    </xdr:to>
    <xdr:sp macro="" textlink="$U$14">
      <xdr:nvSpPr>
        <xdr:cNvPr id="153" name="TextBox 152">
          <a:extLst>
            <a:ext uri="{FF2B5EF4-FFF2-40B4-BE49-F238E27FC236}">
              <a16:creationId xmlns:a16="http://schemas.microsoft.com/office/drawing/2014/main" id="{84C1E44E-3B64-434C-929D-35BE985A2360}"/>
            </a:ext>
          </a:extLst>
        </xdr:cNvPr>
        <xdr:cNvSpPr txBox="1"/>
      </xdr:nvSpPr>
      <xdr:spPr>
        <a:xfrm>
          <a:off x="9038497" y="2949852"/>
          <a:ext cx="775921" cy="19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7A0CE48-DA5D-4102-9BF1-A7A5EF470250}" type="TxLink">
            <a:rPr lang="en-US" sz="1200" b="1" i="0" u="none" strike="noStrike">
              <a:solidFill>
                <a:srgbClr val="E01990"/>
              </a:solidFill>
              <a:latin typeface="Aptos Narrow"/>
            </a:rPr>
            <a:pPr algn="l"/>
            <a:t>(93.0K)</a:t>
          </a:fld>
          <a:endParaRPr lang="en-US" sz="1100" b="1">
            <a:solidFill>
              <a:srgbClr val="E01990"/>
            </a:solidFill>
          </a:endParaRPr>
        </a:p>
      </xdr:txBody>
    </xdr:sp>
    <xdr:clientData/>
  </xdr:twoCellAnchor>
  <xdr:twoCellAnchor>
    <xdr:from>
      <xdr:col>12</xdr:col>
      <xdr:colOff>283313</xdr:colOff>
      <xdr:row>15</xdr:row>
      <xdr:rowOff>124415</xdr:rowOff>
    </xdr:from>
    <xdr:to>
      <xdr:col>16</xdr:col>
      <xdr:colOff>255985</xdr:colOff>
      <xdr:row>16</xdr:row>
      <xdr:rowOff>121082</xdr:rowOff>
    </xdr:to>
    <xdr:sp macro="" textlink="$U$15">
      <xdr:nvSpPr>
        <xdr:cNvPr id="154" name="TextBox 153">
          <a:extLst>
            <a:ext uri="{FF2B5EF4-FFF2-40B4-BE49-F238E27FC236}">
              <a16:creationId xmlns:a16="http://schemas.microsoft.com/office/drawing/2014/main" id="{72418510-3896-43D0-AE15-5C1FCD39D5B5}"/>
            </a:ext>
          </a:extLst>
        </xdr:cNvPr>
        <xdr:cNvSpPr txBox="1"/>
      </xdr:nvSpPr>
      <xdr:spPr>
        <a:xfrm>
          <a:off x="8498626" y="3160509"/>
          <a:ext cx="2711109" cy="19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354813-A483-4DA8-8793-715B50BC1449}" type="TxLink">
            <a:rPr lang="en-US" sz="1200" b="1" i="0" u="none" strike="noStrike">
              <a:solidFill>
                <a:schemeClr val="bg2"/>
              </a:solidFill>
              <a:latin typeface="Aptos Narrow"/>
            </a:rPr>
            <a:pPr algn="l"/>
            <a:t>of expenses spent on Rent / Mortgage</a:t>
          </a:fld>
          <a:endParaRPr lang="en-US" sz="700" b="1">
            <a:solidFill>
              <a:schemeClr val="bg2"/>
            </a:solidFill>
          </a:endParaRPr>
        </a:p>
      </xdr:txBody>
    </xdr:sp>
    <xdr:clientData/>
  </xdr:twoCellAnchor>
  <xdr:twoCellAnchor>
    <xdr:from>
      <xdr:col>13</xdr:col>
      <xdr:colOff>651199</xdr:colOff>
      <xdr:row>29</xdr:row>
      <xdr:rowOff>49131</xdr:rowOff>
    </xdr:from>
    <xdr:to>
      <xdr:col>18</xdr:col>
      <xdr:colOff>504709</xdr:colOff>
      <xdr:row>32</xdr:row>
      <xdr:rowOff>72259</xdr:rowOff>
    </xdr:to>
    <mc:AlternateContent xmlns:mc="http://schemas.openxmlformats.org/markup-compatibility/2006" xmlns:a14="http://schemas.microsoft.com/office/drawing/2010/main">
      <mc:Choice Requires="a14">
        <xdr:graphicFrame macro="">
          <xdr:nvGraphicFramePr>
            <xdr:cNvPr id="31" name="Subcategory">
              <a:extLst>
                <a:ext uri="{FF2B5EF4-FFF2-40B4-BE49-F238E27FC236}">
                  <a16:creationId xmlns:a16="http://schemas.microsoft.com/office/drawing/2014/main" id="{8CE8A9BF-50AA-4456-8432-B89EFA7D456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467720" y="5813827"/>
              <a:ext cx="3411206" cy="619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34882</xdr:colOff>
      <xdr:row>5</xdr:row>
      <xdr:rowOff>82699</xdr:rowOff>
    </xdr:from>
    <xdr:to>
      <xdr:col>18</xdr:col>
      <xdr:colOff>588066</xdr:colOff>
      <xdr:row>7</xdr:row>
      <xdr:rowOff>33132</xdr:rowOff>
    </xdr:to>
    <xdr:sp macro="" textlink="">
      <xdr:nvSpPr>
        <xdr:cNvPr id="156" name="TextBox 155">
          <a:extLst>
            <a:ext uri="{FF2B5EF4-FFF2-40B4-BE49-F238E27FC236}">
              <a16:creationId xmlns:a16="http://schemas.microsoft.com/office/drawing/2014/main" id="{BDC83E72-581A-48B7-BCA1-E288AFA9D813}"/>
            </a:ext>
          </a:extLst>
        </xdr:cNvPr>
        <xdr:cNvSpPr txBox="1"/>
      </xdr:nvSpPr>
      <xdr:spPr>
        <a:xfrm>
          <a:off x="10346730" y="1076612"/>
          <a:ext cx="2615553" cy="347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2"/>
              </a:solidFill>
            </a:rPr>
            <a:t>Please reflect on our daily </a:t>
          </a:r>
          <a:r>
            <a:rPr lang="en-US" sz="900">
              <a:solidFill>
                <a:srgbClr val="5158AF"/>
              </a:solidFill>
            </a:rPr>
            <a:t>Inspirational Quote</a:t>
          </a:r>
        </a:p>
      </xdr:txBody>
    </xdr:sp>
    <xdr:clientData/>
  </xdr:twoCellAnchor>
  <xdr:twoCellAnchor>
    <xdr:from>
      <xdr:col>15</xdr:col>
      <xdr:colOff>149087</xdr:colOff>
      <xdr:row>7</xdr:row>
      <xdr:rowOff>165652</xdr:rowOff>
    </xdr:from>
    <xdr:to>
      <xdr:col>18</xdr:col>
      <xdr:colOff>389283</xdr:colOff>
      <xdr:row>11</xdr:row>
      <xdr:rowOff>99391</xdr:rowOff>
    </xdr:to>
    <xdr:sp macro="" textlink="Quotes!B1">
      <xdr:nvSpPr>
        <xdr:cNvPr id="157" name="TextBox 156">
          <a:extLst>
            <a:ext uri="{FF2B5EF4-FFF2-40B4-BE49-F238E27FC236}">
              <a16:creationId xmlns:a16="http://schemas.microsoft.com/office/drawing/2014/main" id="{F3FF0A3F-9594-C130-52F6-B0FE1738D966}"/>
            </a:ext>
          </a:extLst>
        </xdr:cNvPr>
        <xdr:cNvSpPr txBox="1"/>
      </xdr:nvSpPr>
      <xdr:spPr>
        <a:xfrm>
          <a:off x="10460935" y="1557130"/>
          <a:ext cx="2302565" cy="728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8FA085-D50B-4ED0-B1C6-1187362D1B73}" type="TxLink">
            <a:rPr lang="en-US" sz="1000" b="0" i="0" u="none" strike="noStrike">
              <a:solidFill>
                <a:schemeClr val="bg2"/>
              </a:solidFill>
              <a:latin typeface="Aptos Narrow"/>
            </a:rPr>
            <a:pPr algn="ctr"/>
            <a:t>"When I dare to be powerful, to use my strength in the service of my vision, then it becomes less and less important whether I am afraid." — Audre Lorde, Poet &amp; Civil Rights Activist</a:t>
          </a:fld>
          <a:endParaRPr lang="en-US" sz="900">
            <a:solidFill>
              <a:schemeClr val="bg2"/>
            </a:solidFill>
          </a:endParaRPr>
        </a:p>
      </xdr:txBody>
    </xdr:sp>
    <xdr:clientData/>
  </xdr:twoCellAnchor>
  <xdr:twoCellAnchor>
    <xdr:from>
      <xdr:col>9</xdr:col>
      <xdr:colOff>283762</xdr:colOff>
      <xdr:row>13</xdr:row>
      <xdr:rowOff>57971</xdr:rowOff>
    </xdr:from>
    <xdr:to>
      <xdr:col>10</xdr:col>
      <xdr:colOff>262424</xdr:colOff>
      <xdr:row>15</xdr:row>
      <xdr:rowOff>93802</xdr:rowOff>
    </xdr:to>
    <xdr:sp macro="" textlink="$U$5">
      <xdr:nvSpPr>
        <xdr:cNvPr id="28" name="TextBox 27">
          <a:extLst>
            <a:ext uri="{FF2B5EF4-FFF2-40B4-BE49-F238E27FC236}">
              <a16:creationId xmlns:a16="http://schemas.microsoft.com/office/drawing/2014/main" id="{73D20E6B-DD1B-440D-B41F-C28353B22C2B}"/>
            </a:ext>
          </a:extLst>
        </xdr:cNvPr>
        <xdr:cNvSpPr txBox="1"/>
      </xdr:nvSpPr>
      <xdr:spPr>
        <a:xfrm>
          <a:off x="6494451" y="2711364"/>
          <a:ext cx="668738" cy="444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chemeClr val="bg2"/>
              </a:solidFill>
              <a:latin typeface="Aptos Narrow"/>
            </a:rPr>
            <a:t>Needs:</a:t>
          </a:r>
          <a:endParaRPr lang="en-US" sz="100" b="1">
            <a:solidFill>
              <a:schemeClr val="bg2"/>
            </a:solidFill>
          </a:endParaRPr>
        </a:p>
      </xdr:txBody>
    </xdr:sp>
    <xdr:clientData/>
  </xdr:twoCellAnchor>
  <xdr:twoCellAnchor>
    <xdr:from>
      <xdr:col>1</xdr:col>
      <xdr:colOff>444175</xdr:colOff>
      <xdr:row>7</xdr:row>
      <xdr:rowOff>35593</xdr:rowOff>
    </xdr:from>
    <xdr:to>
      <xdr:col>3</xdr:col>
      <xdr:colOff>70963</xdr:colOff>
      <xdr:row>9</xdr:row>
      <xdr:rowOff>183679</xdr:rowOff>
    </xdr:to>
    <xdr:sp macro="" textlink="$V$2">
      <xdr:nvSpPr>
        <xdr:cNvPr id="5" name="TextBox 4">
          <a:extLst>
            <a:ext uri="{FF2B5EF4-FFF2-40B4-BE49-F238E27FC236}">
              <a16:creationId xmlns:a16="http://schemas.microsoft.com/office/drawing/2014/main" id="{791AF54C-5167-4892-95B7-86BAC062CC9A}"/>
            </a:ext>
          </a:extLst>
        </xdr:cNvPr>
        <xdr:cNvSpPr txBox="1"/>
      </xdr:nvSpPr>
      <xdr:spPr>
        <a:xfrm>
          <a:off x="1134252" y="1464343"/>
          <a:ext cx="1006941" cy="55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2"/>
              </a:solidFill>
              <a:latin typeface="Aptos Narrow"/>
            </a:rPr>
            <a:t>Money Out</a:t>
          </a:r>
        </a:p>
        <a:p>
          <a:fld id="{9B470A54-16EC-4502-BFF7-CBA87593E82D}" type="TxLink">
            <a:rPr lang="en-US" sz="1200" b="1" i="0" u="none" strike="noStrike">
              <a:solidFill>
                <a:srgbClr val="E01990"/>
              </a:solidFill>
              <a:latin typeface="Aptos Narrow"/>
            </a:rPr>
            <a:pPr/>
            <a:t>396,351</a:t>
          </a:fld>
          <a:endParaRPr lang="en-US" sz="1200" b="1" i="0" u="none" strike="noStrike">
            <a:solidFill>
              <a:srgbClr val="E01990"/>
            </a:solidFill>
            <a:latin typeface="Aptos Narrow"/>
          </a:endParaRPr>
        </a:p>
      </xdr:txBody>
    </xdr:sp>
    <xdr:clientData/>
  </xdr:twoCellAnchor>
  <xdr:twoCellAnchor>
    <xdr:from>
      <xdr:col>9</xdr:col>
      <xdr:colOff>251494</xdr:colOff>
      <xdr:row>15</xdr:row>
      <xdr:rowOff>64580</xdr:rowOff>
    </xdr:from>
    <xdr:to>
      <xdr:col>10</xdr:col>
      <xdr:colOff>230156</xdr:colOff>
      <xdr:row>17</xdr:row>
      <xdr:rowOff>100411</xdr:rowOff>
    </xdr:to>
    <xdr:sp macro="" textlink="$U$5">
      <xdr:nvSpPr>
        <xdr:cNvPr id="61" name="TextBox 60">
          <a:extLst>
            <a:ext uri="{FF2B5EF4-FFF2-40B4-BE49-F238E27FC236}">
              <a16:creationId xmlns:a16="http://schemas.microsoft.com/office/drawing/2014/main" id="{8BAF4B4B-87A8-4F01-950E-C2944BCCF026}"/>
            </a:ext>
          </a:extLst>
        </xdr:cNvPr>
        <xdr:cNvSpPr txBox="1"/>
      </xdr:nvSpPr>
      <xdr:spPr>
        <a:xfrm>
          <a:off x="6462183" y="3126187"/>
          <a:ext cx="668738" cy="444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chemeClr val="bg2"/>
              </a:solidFill>
              <a:latin typeface="Aptos Narrow"/>
            </a:rPr>
            <a:t>Financial Priority:</a:t>
          </a:r>
          <a:endParaRPr lang="en-US" sz="100" b="1">
            <a:solidFill>
              <a:schemeClr val="bg2"/>
            </a:solidFill>
          </a:endParaRPr>
        </a:p>
      </xdr:txBody>
    </xdr:sp>
    <xdr:clientData/>
  </xdr:twoCellAnchor>
  <xdr:twoCellAnchor>
    <xdr:from>
      <xdr:col>9</xdr:col>
      <xdr:colOff>296981</xdr:colOff>
      <xdr:row>17</xdr:row>
      <xdr:rowOff>42031</xdr:rowOff>
    </xdr:from>
    <xdr:to>
      <xdr:col>10</xdr:col>
      <xdr:colOff>275643</xdr:colOff>
      <xdr:row>19</xdr:row>
      <xdr:rowOff>77861</xdr:rowOff>
    </xdr:to>
    <xdr:sp macro="" textlink="$U$5">
      <xdr:nvSpPr>
        <xdr:cNvPr id="65" name="TextBox 64">
          <a:extLst>
            <a:ext uri="{FF2B5EF4-FFF2-40B4-BE49-F238E27FC236}">
              <a16:creationId xmlns:a16="http://schemas.microsoft.com/office/drawing/2014/main" id="{D5812846-4F0B-4A20-BFD4-27C949358ACC}"/>
            </a:ext>
          </a:extLst>
        </xdr:cNvPr>
        <xdr:cNvSpPr txBox="1"/>
      </xdr:nvSpPr>
      <xdr:spPr>
        <a:xfrm>
          <a:off x="6507670" y="3511852"/>
          <a:ext cx="668738" cy="444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chemeClr val="bg2"/>
              </a:solidFill>
              <a:latin typeface="Aptos Narrow"/>
            </a:rPr>
            <a:t>Wants:</a:t>
          </a:r>
          <a:endParaRPr lang="en-US" sz="100" b="1">
            <a:solidFill>
              <a:schemeClr val="bg2"/>
            </a:solidFill>
          </a:endParaRPr>
        </a:p>
      </xdr:txBody>
    </xdr:sp>
    <xdr:clientData/>
  </xdr:twoCellAnchor>
  <xdr:twoCellAnchor>
    <xdr:from>
      <xdr:col>0</xdr:col>
      <xdr:colOff>214313</xdr:colOff>
      <xdr:row>6</xdr:row>
      <xdr:rowOff>154816</xdr:rowOff>
    </xdr:from>
    <xdr:to>
      <xdr:col>1</xdr:col>
      <xdr:colOff>565092</xdr:colOff>
      <xdr:row>9</xdr:row>
      <xdr:rowOff>144723</xdr:rowOff>
    </xdr:to>
    <xdr:sp macro="" textlink="$V$1">
      <xdr:nvSpPr>
        <xdr:cNvPr id="78" name="TextBox 77">
          <a:extLst>
            <a:ext uri="{FF2B5EF4-FFF2-40B4-BE49-F238E27FC236}">
              <a16:creationId xmlns:a16="http://schemas.microsoft.com/office/drawing/2014/main" id="{B752C6FA-157D-430C-8F08-1077E7C8FF17}"/>
            </a:ext>
          </a:extLst>
        </xdr:cNvPr>
        <xdr:cNvSpPr txBox="1"/>
      </xdr:nvSpPr>
      <xdr:spPr>
        <a:xfrm>
          <a:off x="214313" y="1379459"/>
          <a:ext cx="1040856" cy="602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2"/>
              </a:solidFill>
              <a:latin typeface="Aptos Narrow"/>
            </a:rPr>
            <a:t>Money In</a:t>
          </a:r>
          <a:br>
            <a:rPr lang="en-US" sz="1200" b="1" i="0" u="none" strike="noStrike">
              <a:solidFill>
                <a:srgbClr val="00CC8D"/>
              </a:solidFill>
              <a:latin typeface="Aptos Narrow"/>
            </a:rPr>
          </a:br>
          <a:fld id="{32A218F2-7D93-4725-87DF-45293BF82108}" type="TxLink">
            <a:rPr lang="en-US" sz="1200" b="1" i="0" u="none" strike="noStrike">
              <a:solidFill>
                <a:srgbClr val="00CC8D"/>
              </a:solidFill>
              <a:latin typeface="Aptos Narrow"/>
            </a:rPr>
            <a:pPr algn="l"/>
            <a:t>466,700</a:t>
          </a:fld>
          <a:endParaRPr lang="en-US" sz="1200" b="1" i="0">
            <a:solidFill>
              <a:srgbClr val="00CC8D"/>
            </a:solidFill>
          </a:endParaRPr>
        </a:p>
      </xdr:txBody>
    </xdr:sp>
    <xdr:clientData/>
  </xdr:twoCellAnchor>
  <xdr:twoCellAnchor>
    <xdr:from>
      <xdr:col>0</xdr:col>
      <xdr:colOff>191960</xdr:colOff>
      <xdr:row>4</xdr:row>
      <xdr:rowOff>156870</xdr:rowOff>
    </xdr:from>
    <xdr:to>
      <xdr:col>1</xdr:col>
      <xdr:colOff>651199</xdr:colOff>
      <xdr:row>7</xdr:row>
      <xdr:rowOff>165230</xdr:rowOff>
    </xdr:to>
    <xdr:sp macro="" textlink="$V$3">
      <xdr:nvSpPr>
        <xdr:cNvPr id="80" name="TextBox 79">
          <a:extLst>
            <a:ext uri="{FF2B5EF4-FFF2-40B4-BE49-F238E27FC236}">
              <a16:creationId xmlns:a16="http://schemas.microsoft.com/office/drawing/2014/main" id="{D4C4E0C6-604A-4B37-AEEC-28C9AD30F94C}"/>
            </a:ext>
          </a:extLst>
        </xdr:cNvPr>
        <xdr:cNvSpPr txBox="1"/>
      </xdr:nvSpPr>
      <xdr:spPr>
        <a:xfrm>
          <a:off x="191960" y="973299"/>
          <a:ext cx="1149316" cy="62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2"/>
              </a:solidFill>
              <a:latin typeface="Aptos Narrow"/>
            </a:rPr>
            <a:t>Balance</a:t>
          </a:r>
        </a:p>
        <a:p>
          <a:fld id="{F27E3E7B-9AF7-435D-9C9F-E002230C71E4}" type="TxLink">
            <a:rPr lang="en-US" sz="2000" b="1" i="0" u="none" strike="noStrike">
              <a:solidFill>
                <a:srgbClr val="2CB6F4"/>
              </a:solidFill>
              <a:latin typeface="Aptos Narrow"/>
            </a:rPr>
            <a:pPr/>
            <a:t>70,349</a:t>
          </a:fld>
          <a:endParaRPr lang="en-US" sz="2400" b="1" i="0" u="none" strike="noStrike">
            <a:solidFill>
              <a:srgbClr val="2CB6F4"/>
            </a:solidFill>
            <a:latin typeface="Aptos Narrow"/>
          </a:endParaRPr>
        </a:p>
      </xdr:txBody>
    </xdr:sp>
    <xdr:clientData/>
  </xdr:twoCellAnchor>
  <xdr:twoCellAnchor>
    <xdr:from>
      <xdr:col>12</xdr:col>
      <xdr:colOff>403178</xdr:colOff>
      <xdr:row>16</xdr:row>
      <xdr:rowOff>115904</xdr:rowOff>
    </xdr:from>
    <xdr:to>
      <xdr:col>18</xdr:col>
      <xdr:colOff>476250</xdr:colOff>
      <xdr:row>30</xdr:row>
      <xdr:rowOff>1604</xdr:rowOff>
    </xdr:to>
    <xdr:graphicFrame macro="">
      <xdr:nvGraphicFramePr>
        <xdr:cNvPr id="23" name="Chart 22">
          <a:extLst>
            <a:ext uri="{FF2B5EF4-FFF2-40B4-BE49-F238E27FC236}">
              <a16:creationId xmlns:a16="http://schemas.microsoft.com/office/drawing/2014/main" id="{31D471E0-5230-4099-B675-A378AA958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0.28105</cdr:x>
      <cdr:y>0.3301</cdr:y>
    </cdr:from>
    <cdr:to>
      <cdr:x>0.8366</cdr:x>
      <cdr:y>0.76699</cdr:y>
    </cdr:to>
    <cdr:sp macro="" textlink="PivotTables!$D$27">
      <cdr:nvSpPr>
        <cdr:cNvPr id="2" name="TextBox 1">
          <a:extLst xmlns:a="http://schemas.openxmlformats.org/drawingml/2006/main">
            <a:ext uri="{FF2B5EF4-FFF2-40B4-BE49-F238E27FC236}">
              <a16:creationId xmlns:a16="http://schemas.microsoft.com/office/drawing/2014/main" id="{15801B44-F7ED-0BE5-DA15-F52E4A2CAF8D}"/>
            </a:ext>
          </a:extLst>
        </cdr:cNvPr>
        <cdr:cNvSpPr txBox="1"/>
      </cdr:nvSpPr>
      <cdr:spPr>
        <a:xfrm xmlns:a="http://schemas.openxmlformats.org/drawingml/2006/main">
          <a:off x="315058" y="249115"/>
          <a:ext cx="622788" cy="3297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D765004B-0A68-48EA-834A-DEB77073D3A1}" type="TxLink">
            <a:rPr lang="en-US" sz="1000" b="0" i="0" u="none" strike="noStrike" kern="1200">
              <a:solidFill>
                <a:srgbClr val="BB1578"/>
              </a:solidFill>
              <a:latin typeface="Aptos Narrow"/>
            </a:rPr>
            <a:pPr/>
            <a:t>84.9%</a:t>
          </a:fld>
          <a:endParaRPr lang="en-US" sz="900" kern="1200">
            <a:solidFill>
              <a:srgbClr val="BB1578"/>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38100</xdr:colOff>
      <xdr:row>17</xdr:row>
      <xdr:rowOff>0</xdr:rowOff>
    </xdr:from>
    <xdr:to>
      <xdr:col>8</xdr:col>
      <xdr:colOff>622782</xdr:colOff>
      <xdr:row>20</xdr:row>
      <xdr:rowOff>9525</xdr:rowOff>
    </xdr:to>
    <xdr:sp macro="" textlink="">
      <xdr:nvSpPr>
        <xdr:cNvPr id="2" name="TextBox 1">
          <a:extLst>
            <a:ext uri="{FF2B5EF4-FFF2-40B4-BE49-F238E27FC236}">
              <a16:creationId xmlns:a16="http://schemas.microsoft.com/office/drawing/2014/main" id="{4650CED6-1BF5-D6BB-1DD6-0921C2644549}"/>
            </a:ext>
          </a:extLst>
        </xdr:cNvPr>
        <xdr:cNvSpPr txBox="1"/>
      </xdr:nvSpPr>
      <xdr:spPr>
        <a:xfrm>
          <a:off x="6076950" y="3400425"/>
          <a:ext cx="1270482" cy="6096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en-US" sz="900" kern="1200">
            <a:solidFill>
              <a:srgbClr val="BB1578"/>
            </a:solidFill>
          </a:endParaRPr>
        </a:p>
      </xdr:txBody>
    </xdr:sp>
    <xdr:clientData/>
  </xdr:twoCellAnchor>
  <xdr:twoCellAnchor editAs="oneCell">
    <xdr:from>
      <xdr:col>6</xdr:col>
      <xdr:colOff>512278</xdr:colOff>
      <xdr:row>95</xdr:row>
      <xdr:rowOff>132522</xdr:rowOff>
    </xdr:from>
    <xdr:to>
      <xdr:col>8</xdr:col>
      <xdr:colOff>729832</xdr:colOff>
      <xdr:row>104</xdr:row>
      <xdr:rowOff>162059</xdr:rowOff>
    </xdr:to>
    <mc:AlternateContent xmlns:mc="http://schemas.openxmlformats.org/markup-compatibility/2006">
      <mc:Choice xmlns:a14="http://schemas.microsoft.com/office/drawing/2010/main" Requires="a14">
        <xdr:graphicFrame macro="">
          <xdr:nvGraphicFramePr>
            <xdr:cNvPr id="3" name="Month 1">
              <a:extLst>
                <a:ext uri="{FF2B5EF4-FFF2-40B4-BE49-F238E27FC236}">
                  <a16:creationId xmlns:a16="http://schemas.microsoft.com/office/drawing/2014/main" id="{7014CF0D-0897-4EB2-BE92-4AD9F88FDDC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757365" y="19016870"/>
              <a:ext cx="1799532" cy="1818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546653</xdr:colOff>
      <xdr:row>44</xdr:row>
      <xdr:rowOff>16566</xdr:rowOff>
    </xdr:from>
    <xdr:to>
      <xdr:col>10</xdr:col>
      <xdr:colOff>363208</xdr:colOff>
      <xdr:row>47</xdr:row>
      <xdr:rowOff>43421</xdr:rowOff>
    </xdr:to>
    <mc:AlternateContent xmlns:mc="http://schemas.openxmlformats.org/markup-compatibility/2006" xmlns:a14="http://schemas.microsoft.com/office/drawing/2010/main">
      <mc:Choice Requires="a14">
        <xdr:graphicFrame macro="">
          <xdr:nvGraphicFramePr>
            <xdr:cNvPr id="4" name="Subcategory 1">
              <a:extLst>
                <a:ext uri="{FF2B5EF4-FFF2-40B4-BE49-F238E27FC236}">
                  <a16:creationId xmlns:a16="http://schemas.microsoft.com/office/drawing/2014/main" id="{05B1B385-7070-4E08-AF04-DCE598168CA4}"/>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6725479" y="8763001"/>
              <a:ext cx="3402925" cy="623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e Joshua Virtudazo" refreshedDate="46167.746300578707" createdVersion="8" refreshedVersion="8" minRefreshableVersion="3" recordCount="215" xr:uid="{67571EC1-C5A7-417B-A65E-33DDB15BB82C}">
  <cacheSource type="worksheet">
    <worksheetSource name="Table1"/>
  </cacheSource>
  <cacheFields count="10">
    <cacheField name="Date" numFmtId="14">
      <sharedItems containsSemiMixedTypes="0" containsNonDate="0" containsDate="1" containsString="0" minDate="2026-04-15T00:00:00" maxDate="2027-01-31T00:00:00" count="22">
        <d v="2026-04-15T00:00:00"/>
        <d v="2026-04-16T00:00:00"/>
        <d v="2026-04-30T00:00:00"/>
        <d v="2026-05-15T00:00:00"/>
        <d v="2026-05-30T00:00:00"/>
        <d v="2026-06-15T00:00:00"/>
        <d v="2026-06-30T00:00:00"/>
        <d v="2026-07-15T00:00:00"/>
        <d v="2026-07-31T00:00:00"/>
        <d v="2026-08-15T00:00:00"/>
        <d v="2026-08-31T00:00:00"/>
        <d v="2026-09-15T00:00:00"/>
        <d v="2026-09-30T00:00:00"/>
        <d v="2026-10-15T00:00:00"/>
        <d v="2026-10-31T00:00:00"/>
        <d v="2026-11-15T00:00:00"/>
        <d v="2026-11-30T00:00:00"/>
        <d v="2026-12-15T00:00:00"/>
        <d v="2026-12-16T00:00:00"/>
        <d v="2026-12-30T00:00:00"/>
        <d v="2027-01-15T00:00:00"/>
        <d v="2027-01-30T00:00:00" u="1"/>
      </sharedItems>
      <fieldGroup par="9"/>
    </cacheField>
    <cacheField name="Month" numFmtId="0">
      <sharedItems count="10">
        <s v="Apr"/>
        <s v="May"/>
        <s v="Jun"/>
        <s v="Jul"/>
        <s v="Aug"/>
        <s v="Sep"/>
        <s v="Oct"/>
        <s v="Nov"/>
        <s v="Dec"/>
        <s v="Jan"/>
      </sharedItems>
    </cacheField>
    <cacheField name="Cash Flow" numFmtId="0">
      <sharedItems count="3">
        <s v="Income"/>
        <s v="Expense"/>
        <e v="#N/A" u="1"/>
      </sharedItems>
    </cacheField>
    <cacheField name="Category" numFmtId="0">
      <sharedItems count="12">
        <s v="Dave Salary"/>
        <s v="Cath Salary"/>
        <s v="Car Payment"/>
        <s v="Rent / Mortgage"/>
        <s v="Utilities"/>
        <s v="Groceries"/>
        <s v="Loan"/>
        <s v="Public Transport"/>
        <s v="Other Expenses"/>
        <s v="Fuel"/>
        <s v="School"/>
        <s v="Car Maintenance"/>
      </sharedItems>
    </cacheField>
    <cacheField name="Amount" numFmtId="3">
      <sharedItems containsSemiMixedTypes="0" containsString="0" containsNumber="1" containsInteger="1" minValue="250" maxValue="17500"/>
    </cacheField>
    <cacheField name="Actual" numFmtId="3">
      <sharedItems containsString="0" containsBlank="1" containsNumber="1" containsInteger="1" minValue="0" maxValue="17500"/>
    </cacheField>
    <cacheField name="Subcategory" numFmtId="3">
      <sharedItems count="4">
        <s v="Salary"/>
        <s v="Financial Priority"/>
        <s v="Needs"/>
        <s v="Wants"/>
      </sharedItems>
    </cacheField>
    <cacheField name="Description_x000a_(optional)" numFmtId="0">
      <sharedItems containsBlank="1"/>
    </cacheField>
    <cacheField name="Days (Date)" numFmtId="0" databaseField="0">
      <fieldGroup base="0">
        <rangePr groupBy="days" startDate="2026-04-15T00:00:00" endDate="2027-01-16T00:00:00"/>
        <groupItems count="368">
          <s v="&lt;4/15/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6/2027"/>
        </groupItems>
      </fieldGroup>
    </cacheField>
    <cacheField name="Months (Date)" numFmtId="0" databaseField="0">
      <fieldGroup base="0">
        <rangePr groupBy="months" startDate="2026-04-15T00:00:00" endDate="2027-01-16T00:00:00"/>
        <groupItems count="14">
          <s v="&lt;4/15/2026"/>
          <s v="Jan"/>
          <s v="Feb"/>
          <s v="Mar"/>
          <s v="Apr"/>
          <s v="May"/>
          <s v="Jun"/>
          <s v="Jul"/>
          <s v="Aug"/>
          <s v="Sep"/>
          <s v="Oct"/>
          <s v="Nov"/>
          <s v="Dec"/>
          <s v="&gt;1/16/2027"/>
        </groupItems>
      </fieldGroup>
    </cacheField>
  </cacheFields>
  <extLst>
    <ext xmlns:x14="http://schemas.microsoft.com/office/spreadsheetml/2009/9/main" uri="{725AE2AE-9491-48be-B2B4-4EB974FC3084}">
      <x14:pivotCacheDefinition pivotCacheId="79798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x v="0"/>
    <x v="0"/>
    <x v="0"/>
    <n v="16500"/>
    <n v="17500"/>
    <x v="0"/>
    <s v="Monthly salary"/>
  </r>
  <r>
    <x v="0"/>
    <x v="0"/>
    <x v="0"/>
    <x v="1"/>
    <n v="8000"/>
    <n v="8000"/>
    <x v="0"/>
    <s v="Monthly salary"/>
  </r>
  <r>
    <x v="1"/>
    <x v="0"/>
    <x v="1"/>
    <x v="2"/>
    <n v="1500"/>
    <n v="1500"/>
    <x v="1"/>
    <s v="for March payment"/>
  </r>
  <r>
    <x v="1"/>
    <x v="0"/>
    <x v="1"/>
    <x v="3"/>
    <n v="7000"/>
    <n v="7000"/>
    <x v="1"/>
    <s v="House"/>
  </r>
  <r>
    <x v="1"/>
    <x v="0"/>
    <x v="1"/>
    <x v="4"/>
    <n v="300"/>
    <n v="300"/>
    <x v="1"/>
    <s v="Internet"/>
  </r>
  <r>
    <x v="1"/>
    <x v="0"/>
    <x v="1"/>
    <x v="5"/>
    <n v="1000"/>
    <n v="1000"/>
    <x v="2"/>
    <s v="Milk"/>
  </r>
  <r>
    <x v="1"/>
    <x v="0"/>
    <x v="1"/>
    <x v="4"/>
    <n v="500"/>
    <n v="500"/>
    <x v="1"/>
    <s v="Water"/>
  </r>
  <r>
    <x v="1"/>
    <x v="0"/>
    <x v="1"/>
    <x v="6"/>
    <n v="1060"/>
    <n v="1060"/>
    <x v="1"/>
    <s v="Atome"/>
  </r>
  <r>
    <x v="1"/>
    <x v="0"/>
    <x v="1"/>
    <x v="5"/>
    <n v="2500"/>
    <n v="2500"/>
    <x v="2"/>
    <s v="Food"/>
  </r>
  <r>
    <x v="1"/>
    <x v="0"/>
    <x v="1"/>
    <x v="7"/>
    <n v="2000"/>
    <n v="2000"/>
    <x v="2"/>
    <s v="Cath transpo"/>
  </r>
  <r>
    <x v="1"/>
    <x v="0"/>
    <x v="1"/>
    <x v="8"/>
    <n v="2670"/>
    <n v="2670"/>
    <x v="3"/>
    <s v="Parcel and lalamove and Proj."/>
  </r>
  <r>
    <x v="1"/>
    <x v="0"/>
    <x v="1"/>
    <x v="6"/>
    <n v="1000"/>
    <n v="1000"/>
    <x v="1"/>
    <s v="Yhella"/>
  </r>
  <r>
    <x v="1"/>
    <x v="0"/>
    <x v="1"/>
    <x v="6"/>
    <n v="1000"/>
    <n v="1000"/>
    <x v="1"/>
    <s v="Mama"/>
  </r>
  <r>
    <x v="1"/>
    <x v="0"/>
    <x v="1"/>
    <x v="9"/>
    <n v="500"/>
    <n v="500"/>
    <x v="2"/>
    <s v="Gas"/>
  </r>
  <r>
    <x v="1"/>
    <x v="0"/>
    <x v="1"/>
    <x v="6"/>
    <n v="3470"/>
    <n v="3470"/>
    <x v="1"/>
    <s v="unkown"/>
  </r>
  <r>
    <x v="2"/>
    <x v="0"/>
    <x v="0"/>
    <x v="0"/>
    <n v="17000"/>
    <m/>
    <x v="0"/>
    <m/>
  </r>
  <r>
    <x v="2"/>
    <x v="0"/>
    <x v="0"/>
    <x v="1"/>
    <n v="7700"/>
    <m/>
    <x v="0"/>
    <m/>
  </r>
  <r>
    <x v="2"/>
    <x v="0"/>
    <x v="1"/>
    <x v="6"/>
    <n v="4000"/>
    <n v="4000"/>
    <x v="1"/>
    <s v="Mama"/>
  </r>
  <r>
    <x v="2"/>
    <x v="0"/>
    <x v="1"/>
    <x v="2"/>
    <n v="8500"/>
    <n v="8500"/>
    <x v="1"/>
    <s v="for March payment"/>
  </r>
  <r>
    <x v="2"/>
    <x v="0"/>
    <x v="1"/>
    <x v="6"/>
    <n v="3460"/>
    <n v="3460"/>
    <x v="1"/>
    <s v="ate for april"/>
  </r>
  <r>
    <x v="2"/>
    <x v="0"/>
    <x v="1"/>
    <x v="5"/>
    <n v="2500"/>
    <n v="2500"/>
    <x v="2"/>
    <s v="Food"/>
  </r>
  <r>
    <x v="2"/>
    <x v="0"/>
    <x v="1"/>
    <x v="5"/>
    <n v="1200"/>
    <n v="1200"/>
    <x v="2"/>
    <s v="Milk"/>
  </r>
  <r>
    <x v="2"/>
    <x v="0"/>
    <x v="1"/>
    <x v="5"/>
    <n v="500"/>
    <n v="500"/>
    <x v="2"/>
    <s v="Diaper"/>
  </r>
  <r>
    <x v="2"/>
    <x v="0"/>
    <x v="1"/>
    <x v="4"/>
    <n v="1300"/>
    <n v="1300"/>
    <x v="1"/>
    <s v="Kuryente"/>
  </r>
  <r>
    <x v="2"/>
    <x v="0"/>
    <x v="1"/>
    <x v="7"/>
    <n v="1000"/>
    <n v="1000"/>
    <x v="2"/>
    <s v="Cath pamasahe sa trece"/>
  </r>
  <r>
    <x v="2"/>
    <x v="0"/>
    <x v="1"/>
    <x v="4"/>
    <n v="250"/>
    <n v="250"/>
    <x v="1"/>
    <s v="Internet"/>
  </r>
  <r>
    <x v="2"/>
    <x v="0"/>
    <x v="1"/>
    <x v="6"/>
    <n v="1000"/>
    <n v="1000"/>
    <x v="1"/>
    <s v="Atome"/>
  </r>
  <r>
    <x v="2"/>
    <x v="0"/>
    <x v="1"/>
    <x v="4"/>
    <n v="270"/>
    <n v="270"/>
    <x v="1"/>
    <s v="Water"/>
  </r>
  <r>
    <x v="3"/>
    <x v="1"/>
    <x v="0"/>
    <x v="0"/>
    <n v="16500"/>
    <m/>
    <x v="0"/>
    <m/>
  </r>
  <r>
    <x v="3"/>
    <x v="1"/>
    <x v="0"/>
    <x v="1"/>
    <n v="8000"/>
    <m/>
    <x v="0"/>
    <m/>
  </r>
  <r>
    <x v="3"/>
    <x v="1"/>
    <x v="1"/>
    <x v="3"/>
    <n v="9000"/>
    <n v="9000"/>
    <x v="1"/>
    <s v="House"/>
  </r>
  <r>
    <x v="3"/>
    <x v="1"/>
    <x v="1"/>
    <x v="4"/>
    <n v="250"/>
    <n v="250"/>
    <x v="1"/>
    <s v="Internet"/>
  </r>
  <r>
    <x v="3"/>
    <x v="1"/>
    <x v="1"/>
    <x v="5"/>
    <n v="1500"/>
    <n v="1489"/>
    <x v="2"/>
    <s v="Milk"/>
  </r>
  <r>
    <x v="3"/>
    <x v="1"/>
    <x v="1"/>
    <x v="4"/>
    <n v="1300"/>
    <n v="1950"/>
    <x v="1"/>
    <s v="Kuryente"/>
  </r>
  <r>
    <x v="3"/>
    <x v="1"/>
    <x v="1"/>
    <x v="7"/>
    <n v="500"/>
    <n v="200"/>
    <x v="2"/>
    <s v="Cath pamasahe sa trece"/>
  </r>
  <r>
    <x v="3"/>
    <x v="1"/>
    <x v="1"/>
    <x v="5"/>
    <n v="2500"/>
    <n v="3500"/>
    <x v="2"/>
    <s v="Food"/>
  </r>
  <r>
    <x v="3"/>
    <x v="1"/>
    <x v="1"/>
    <x v="5"/>
    <n v="500"/>
    <n v="100"/>
    <x v="2"/>
    <s v="Diaper"/>
  </r>
  <r>
    <x v="3"/>
    <x v="1"/>
    <x v="1"/>
    <x v="6"/>
    <n v="1166"/>
    <n v="1166"/>
    <x v="1"/>
    <s v="Atome Cash"/>
  </r>
  <r>
    <x v="3"/>
    <x v="1"/>
    <x v="1"/>
    <x v="5"/>
    <n v="500"/>
    <n v="0"/>
    <x v="2"/>
    <s v="Toiletries"/>
  </r>
  <r>
    <x v="3"/>
    <x v="1"/>
    <x v="1"/>
    <x v="8"/>
    <n v="4500"/>
    <n v="6000"/>
    <x v="3"/>
    <s v="Macey bday"/>
  </r>
  <r>
    <x v="3"/>
    <x v="1"/>
    <x v="1"/>
    <x v="9"/>
    <n v="1000"/>
    <n v="1000"/>
    <x v="2"/>
    <s v="Fuel"/>
  </r>
  <r>
    <x v="3"/>
    <x v="1"/>
    <x v="1"/>
    <x v="6"/>
    <n v="2000"/>
    <n v="0"/>
    <x v="1"/>
    <s v="Mama"/>
  </r>
  <r>
    <x v="4"/>
    <x v="1"/>
    <x v="0"/>
    <x v="0"/>
    <n v="17500"/>
    <m/>
    <x v="0"/>
    <m/>
  </r>
  <r>
    <x v="4"/>
    <x v="1"/>
    <x v="0"/>
    <x v="1"/>
    <n v="8000"/>
    <m/>
    <x v="0"/>
    <m/>
  </r>
  <r>
    <x v="4"/>
    <x v="1"/>
    <x v="1"/>
    <x v="2"/>
    <n v="8550"/>
    <n v="8550"/>
    <x v="1"/>
    <s v="For April payment"/>
  </r>
  <r>
    <x v="4"/>
    <x v="1"/>
    <x v="1"/>
    <x v="2"/>
    <n v="7000"/>
    <n v="7000"/>
    <x v="1"/>
    <s v="For April payment"/>
  </r>
  <r>
    <x v="4"/>
    <x v="1"/>
    <x v="1"/>
    <x v="6"/>
    <n v="3460"/>
    <n v="3460"/>
    <x v="1"/>
    <s v="Ate"/>
  </r>
  <r>
    <x v="4"/>
    <x v="1"/>
    <x v="1"/>
    <x v="10"/>
    <n v="1000"/>
    <n v="1000"/>
    <x v="2"/>
    <s v="Admission"/>
  </r>
  <r>
    <x v="4"/>
    <x v="1"/>
    <x v="1"/>
    <x v="5"/>
    <n v="1500"/>
    <n v="1500"/>
    <x v="2"/>
    <s v="Milk"/>
  </r>
  <r>
    <x v="4"/>
    <x v="1"/>
    <x v="1"/>
    <x v="5"/>
    <n v="500"/>
    <n v="500"/>
    <x v="2"/>
    <s v="Diaper"/>
  </r>
  <r>
    <x v="4"/>
    <x v="1"/>
    <x v="1"/>
    <x v="4"/>
    <n v="500"/>
    <n v="500"/>
    <x v="1"/>
    <s v="Water"/>
  </r>
  <r>
    <x v="4"/>
    <x v="1"/>
    <x v="1"/>
    <x v="6"/>
    <n v="2000"/>
    <n v="2000"/>
    <x v="1"/>
    <s v="Atome Credit"/>
  </r>
  <r>
    <x v="4"/>
    <x v="1"/>
    <x v="1"/>
    <x v="4"/>
    <n v="500"/>
    <n v="500"/>
    <x v="1"/>
    <s v="Internet"/>
  </r>
  <r>
    <x v="4"/>
    <x v="1"/>
    <x v="1"/>
    <x v="9"/>
    <n v="500"/>
    <n v="500"/>
    <x v="2"/>
    <s v="Fuel"/>
  </r>
  <r>
    <x v="5"/>
    <x v="2"/>
    <x v="0"/>
    <x v="0"/>
    <n v="17500"/>
    <m/>
    <x v="0"/>
    <m/>
  </r>
  <r>
    <x v="5"/>
    <x v="2"/>
    <x v="0"/>
    <x v="1"/>
    <n v="8000"/>
    <m/>
    <x v="0"/>
    <m/>
  </r>
  <r>
    <x v="5"/>
    <x v="2"/>
    <x v="1"/>
    <x v="3"/>
    <n v="9000"/>
    <n v="9000"/>
    <x v="1"/>
    <s v="House"/>
  </r>
  <r>
    <x v="5"/>
    <x v="2"/>
    <x v="1"/>
    <x v="4"/>
    <n v="899"/>
    <n v="899"/>
    <x v="1"/>
    <s v="Internet"/>
  </r>
  <r>
    <x v="5"/>
    <x v="2"/>
    <x v="1"/>
    <x v="5"/>
    <n v="1500"/>
    <n v="1500"/>
    <x v="2"/>
    <s v="Milk"/>
  </r>
  <r>
    <x v="5"/>
    <x v="2"/>
    <x v="1"/>
    <x v="4"/>
    <n v="2000"/>
    <n v="2000"/>
    <x v="1"/>
    <s v="Kuryente"/>
  </r>
  <r>
    <x v="5"/>
    <x v="2"/>
    <x v="1"/>
    <x v="7"/>
    <n v="500"/>
    <n v="500"/>
    <x v="2"/>
    <s v="Cath pamasahe sa trece"/>
  </r>
  <r>
    <x v="5"/>
    <x v="2"/>
    <x v="1"/>
    <x v="5"/>
    <n v="2500"/>
    <n v="2500"/>
    <x v="2"/>
    <s v="Food"/>
  </r>
  <r>
    <x v="5"/>
    <x v="2"/>
    <x v="1"/>
    <x v="6"/>
    <n v="1000"/>
    <n v="1000"/>
    <x v="1"/>
    <s v="UB Credit"/>
  </r>
  <r>
    <x v="5"/>
    <x v="2"/>
    <x v="1"/>
    <x v="5"/>
    <n v="500"/>
    <n v="500"/>
    <x v="2"/>
    <s v="Toiletries"/>
  </r>
  <r>
    <x v="5"/>
    <x v="2"/>
    <x v="1"/>
    <x v="9"/>
    <n v="1000"/>
    <n v="1000"/>
    <x v="2"/>
    <s v="Fuel"/>
  </r>
  <r>
    <x v="5"/>
    <x v="2"/>
    <x v="1"/>
    <x v="6"/>
    <n v="2332"/>
    <n v="2332"/>
    <x v="1"/>
    <s v="Atome Cash"/>
  </r>
  <r>
    <x v="5"/>
    <x v="2"/>
    <x v="1"/>
    <x v="6"/>
    <n v="2000"/>
    <n v="2000"/>
    <x v="1"/>
    <s v="Mama"/>
  </r>
  <r>
    <x v="5"/>
    <x v="2"/>
    <x v="1"/>
    <x v="8"/>
    <n v="2000"/>
    <n v="2000"/>
    <x v="3"/>
    <s v="School"/>
  </r>
  <r>
    <x v="6"/>
    <x v="2"/>
    <x v="0"/>
    <x v="0"/>
    <n v="16500"/>
    <m/>
    <x v="0"/>
    <m/>
  </r>
  <r>
    <x v="6"/>
    <x v="2"/>
    <x v="0"/>
    <x v="1"/>
    <n v="8000"/>
    <m/>
    <x v="0"/>
    <m/>
  </r>
  <r>
    <x v="6"/>
    <x v="2"/>
    <x v="1"/>
    <x v="2"/>
    <n v="7000"/>
    <n v="7000"/>
    <x v="1"/>
    <s v="Updated payment"/>
  </r>
  <r>
    <x v="6"/>
    <x v="2"/>
    <x v="1"/>
    <x v="6"/>
    <n v="3460"/>
    <n v="3460"/>
    <x v="1"/>
    <s v="Ate"/>
  </r>
  <r>
    <x v="6"/>
    <x v="2"/>
    <x v="1"/>
    <x v="5"/>
    <n v="2500"/>
    <n v="2500"/>
    <x v="2"/>
    <s v="Food"/>
  </r>
  <r>
    <x v="6"/>
    <x v="2"/>
    <x v="1"/>
    <x v="5"/>
    <n v="1500"/>
    <n v="1500"/>
    <x v="2"/>
    <s v="Milk"/>
  </r>
  <r>
    <x v="6"/>
    <x v="2"/>
    <x v="1"/>
    <x v="5"/>
    <n v="500"/>
    <n v="500"/>
    <x v="2"/>
    <s v="Diaper"/>
  </r>
  <r>
    <x v="6"/>
    <x v="2"/>
    <x v="1"/>
    <x v="4"/>
    <n v="500"/>
    <n v="500"/>
    <x v="1"/>
    <s v="Water"/>
  </r>
  <r>
    <x v="6"/>
    <x v="2"/>
    <x v="1"/>
    <x v="7"/>
    <n v="500"/>
    <n v="500"/>
    <x v="2"/>
    <s v="Cath pamasahe sa trece"/>
  </r>
  <r>
    <x v="6"/>
    <x v="2"/>
    <x v="1"/>
    <x v="6"/>
    <n v="2000"/>
    <n v="2000"/>
    <x v="1"/>
    <s v="Clarisse"/>
  </r>
  <r>
    <x v="6"/>
    <x v="2"/>
    <x v="1"/>
    <x v="9"/>
    <n v="1000"/>
    <n v="1000"/>
    <x v="2"/>
    <s v="Fuel"/>
  </r>
  <r>
    <x v="7"/>
    <x v="3"/>
    <x v="0"/>
    <x v="0"/>
    <n v="16500"/>
    <m/>
    <x v="0"/>
    <m/>
  </r>
  <r>
    <x v="7"/>
    <x v="3"/>
    <x v="0"/>
    <x v="1"/>
    <n v="8000"/>
    <m/>
    <x v="0"/>
    <m/>
  </r>
  <r>
    <x v="7"/>
    <x v="3"/>
    <x v="1"/>
    <x v="3"/>
    <n v="9000"/>
    <n v="9000"/>
    <x v="1"/>
    <s v="House"/>
  </r>
  <r>
    <x v="7"/>
    <x v="3"/>
    <x v="1"/>
    <x v="4"/>
    <n v="899"/>
    <n v="899"/>
    <x v="1"/>
    <s v="Internet"/>
  </r>
  <r>
    <x v="7"/>
    <x v="3"/>
    <x v="1"/>
    <x v="5"/>
    <n v="1800"/>
    <n v="1800"/>
    <x v="2"/>
    <s v="Milk"/>
  </r>
  <r>
    <x v="7"/>
    <x v="3"/>
    <x v="1"/>
    <x v="4"/>
    <n v="2000"/>
    <n v="2000"/>
    <x v="1"/>
    <s v="Kuryente"/>
  </r>
  <r>
    <x v="7"/>
    <x v="3"/>
    <x v="1"/>
    <x v="7"/>
    <n v="500"/>
    <n v="500"/>
    <x v="2"/>
    <s v="cath pamasahe sa trece"/>
  </r>
  <r>
    <x v="7"/>
    <x v="3"/>
    <x v="1"/>
    <x v="5"/>
    <n v="500"/>
    <n v="500"/>
    <x v="2"/>
    <s v="Toiletries"/>
  </r>
  <r>
    <x v="7"/>
    <x v="3"/>
    <x v="1"/>
    <x v="5"/>
    <n v="2500"/>
    <n v="2500"/>
    <x v="2"/>
    <s v="Food"/>
  </r>
  <r>
    <x v="7"/>
    <x v="3"/>
    <x v="1"/>
    <x v="6"/>
    <n v="2000"/>
    <n v="2000"/>
    <x v="1"/>
    <s v="Clarisse"/>
  </r>
  <r>
    <x v="7"/>
    <x v="3"/>
    <x v="1"/>
    <x v="10"/>
    <n v="1500"/>
    <n v="1500"/>
    <x v="2"/>
    <s v="School"/>
  </r>
  <r>
    <x v="7"/>
    <x v="3"/>
    <x v="1"/>
    <x v="6"/>
    <n v="1000"/>
    <n v="1000"/>
    <x v="1"/>
    <s v="Ate Feb balance"/>
  </r>
  <r>
    <x v="8"/>
    <x v="3"/>
    <x v="0"/>
    <x v="0"/>
    <n v="16500"/>
    <m/>
    <x v="0"/>
    <m/>
  </r>
  <r>
    <x v="8"/>
    <x v="3"/>
    <x v="0"/>
    <x v="1"/>
    <n v="8000"/>
    <m/>
    <x v="0"/>
    <m/>
  </r>
  <r>
    <x v="8"/>
    <x v="3"/>
    <x v="1"/>
    <x v="2"/>
    <n v="7000"/>
    <n v="7000"/>
    <x v="1"/>
    <s v="Car update"/>
  </r>
  <r>
    <x v="8"/>
    <x v="3"/>
    <x v="1"/>
    <x v="6"/>
    <n v="3460"/>
    <n v="3460"/>
    <x v="1"/>
    <s v="Ate"/>
  </r>
  <r>
    <x v="8"/>
    <x v="3"/>
    <x v="1"/>
    <x v="5"/>
    <n v="2500"/>
    <n v="2500"/>
    <x v="2"/>
    <s v="food"/>
  </r>
  <r>
    <x v="8"/>
    <x v="3"/>
    <x v="1"/>
    <x v="5"/>
    <n v="1800"/>
    <n v="1800"/>
    <x v="2"/>
    <s v="Milk"/>
  </r>
  <r>
    <x v="8"/>
    <x v="3"/>
    <x v="1"/>
    <x v="5"/>
    <n v="500"/>
    <n v="500"/>
    <x v="2"/>
    <s v="Diaper"/>
  </r>
  <r>
    <x v="8"/>
    <x v="3"/>
    <x v="1"/>
    <x v="4"/>
    <n v="500"/>
    <n v="500"/>
    <x v="1"/>
    <s v="Water"/>
  </r>
  <r>
    <x v="8"/>
    <x v="3"/>
    <x v="1"/>
    <x v="7"/>
    <n v="500"/>
    <n v="500"/>
    <x v="2"/>
    <s v="Cath pamasahe sa trece"/>
  </r>
  <r>
    <x v="8"/>
    <x v="3"/>
    <x v="1"/>
    <x v="6"/>
    <n v="1000"/>
    <n v="1000"/>
    <x v="1"/>
    <s v="Ate Feb balance"/>
  </r>
  <r>
    <x v="8"/>
    <x v="3"/>
    <x v="1"/>
    <x v="9"/>
    <n v="1000"/>
    <n v="1000"/>
    <x v="2"/>
    <s v="Fuel"/>
  </r>
  <r>
    <x v="8"/>
    <x v="3"/>
    <x v="1"/>
    <x v="11"/>
    <n v="1000"/>
    <n v="1000"/>
    <x v="1"/>
    <s v="Car Maintenance"/>
  </r>
  <r>
    <x v="9"/>
    <x v="4"/>
    <x v="0"/>
    <x v="0"/>
    <n v="16500"/>
    <m/>
    <x v="0"/>
    <m/>
  </r>
  <r>
    <x v="9"/>
    <x v="4"/>
    <x v="0"/>
    <x v="1"/>
    <n v="8000"/>
    <m/>
    <x v="0"/>
    <m/>
  </r>
  <r>
    <x v="9"/>
    <x v="4"/>
    <x v="1"/>
    <x v="3"/>
    <n v="9000"/>
    <n v="9000"/>
    <x v="1"/>
    <s v="House"/>
  </r>
  <r>
    <x v="9"/>
    <x v="4"/>
    <x v="1"/>
    <x v="4"/>
    <n v="899"/>
    <n v="899"/>
    <x v="1"/>
    <s v="Internet"/>
  </r>
  <r>
    <x v="9"/>
    <x v="4"/>
    <x v="1"/>
    <x v="5"/>
    <n v="1800"/>
    <n v="1800"/>
    <x v="2"/>
    <s v="Milk"/>
  </r>
  <r>
    <x v="9"/>
    <x v="4"/>
    <x v="1"/>
    <x v="4"/>
    <n v="2000"/>
    <n v="2000"/>
    <x v="1"/>
    <s v="Kuryente"/>
  </r>
  <r>
    <x v="9"/>
    <x v="4"/>
    <x v="1"/>
    <x v="7"/>
    <n v="500"/>
    <n v="500"/>
    <x v="2"/>
    <s v="cath pamasahe sa trece"/>
  </r>
  <r>
    <x v="9"/>
    <x v="4"/>
    <x v="1"/>
    <x v="5"/>
    <n v="500"/>
    <n v="500"/>
    <x v="2"/>
    <s v="Toiletries"/>
  </r>
  <r>
    <x v="9"/>
    <x v="4"/>
    <x v="1"/>
    <x v="5"/>
    <n v="2500"/>
    <n v="2500"/>
    <x v="2"/>
    <s v="Food"/>
  </r>
  <r>
    <x v="9"/>
    <x v="4"/>
    <x v="1"/>
    <x v="10"/>
    <n v="1000"/>
    <n v="1000"/>
    <x v="2"/>
    <s v="School"/>
  </r>
  <r>
    <x v="9"/>
    <x v="4"/>
    <x v="1"/>
    <x v="8"/>
    <n v="4000"/>
    <n v="4000"/>
    <x v="3"/>
    <s v="Austin bday"/>
  </r>
  <r>
    <x v="10"/>
    <x v="4"/>
    <x v="0"/>
    <x v="0"/>
    <n v="16500"/>
    <m/>
    <x v="0"/>
    <m/>
  </r>
  <r>
    <x v="10"/>
    <x v="4"/>
    <x v="0"/>
    <x v="1"/>
    <n v="8000"/>
    <m/>
    <x v="0"/>
    <m/>
  </r>
  <r>
    <x v="10"/>
    <x v="4"/>
    <x v="1"/>
    <x v="2"/>
    <n v="7000"/>
    <n v="7000"/>
    <x v="1"/>
    <s v="Car update"/>
  </r>
  <r>
    <x v="10"/>
    <x v="4"/>
    <x v="1"/>
    <x v="6"/>
    <n v="3460"/>
    <n v="3460"/>
    <x v="1"/>
    <s v="Ate"/>
  </r>
  <r>
    <x v="10"/>
    <x v="4"/>
    <x v="1"/>
    <x v="5"/>
    <n v="2500"/>
    <n v="2500"/>
    <x v="2"/>
    <s v="food"/>
  </r>
  <r>
    <x v="10"/>
    <x v="4"/>
    <x v="1"/>
    <x v="5"/>
    <n v="1800"/>
    <n v="1800"/>
    <x v="2"/>
    <s v="Milk"/>
  </r>
  <r>
    <x v="10"/>
    <x v="4"/>
    <x v="1"/>
    <x v="5"/>
    <n v="500"/>
    <n v="500"/>
    <x v="2"/>
    <s v="Diaper"/>
  </r>
  <r>
    <x v="10"/>
    <x v="4"/>
    <x v="1"/>
    <x v="4"/>
    <n v="500"/>
    <n v="500"/>
    <x v="1"/>
    <s v="Water"/>
  </r>
  <r>
    <x v="10"/>
    <x v="4"/>
    <x v="1"/>
    <x v="7"/>
    <n v="500"/>
    <n v="500"/>
    <x v="2"/>
    <s v="Cath pamasahe sa trece"/>
  </r>
  <r>
    <x v="10"/>
    <x v="4"/>
    <x v="1"/>
    <x v="9"/>
    <n v="1000"/>
    <n v="1000"/>
    <x v="2"/>
    <s v="Fuel"/>
  </r>
  <r>
    <x v="10"/>
    <x v="4"/>
    <x v="1"/>
    <x v="11"/>
    <n v="1000"/>
    <n v="1000"/>
    <x v="1"/>
    <s v="Car Maintenance"/>
  </r>
  <r>
    <x v="11"/>
    <x v="5"/>
    <x v="0"/>
    <x v="0"/>
    <n v="16500"/>
    <m/>
    <x v="0"/>
    <m/>
  </r>
  <r>
    <x v="11"/>
    <x v="5"/>
    <x v="0"/>
    <x v="1"/>
    <n v="8000"/>
    <m/>
    <x v="0"/>
    <m/>
  </r>
  <r>
    <x v="11"/>
    <x v="5"/>
    <x v="1"/>
    <x v="3"/>
    <n v="10000"/>
    <n v="10000"/>
    <x v="1"/>
    <s v="House"/>
  </r>
  <r>
    <x v="11"/>
    <x v="5"/>
    <x v="1"/>
    <x v="4"/>
    <n v="899"/>
    <n v="899"/>
    <x v="1"/>
    <s v="Internet"/>
  </r>
  <r>
    <x v="11"/>
    <x v="5"/>
    <x v="1"/>
    <x v="5"/>
    <n v="1800"/>
    <n v="1800"/>
    <x v="2"/>
    <s v="Milk"/>
  </r>
  <r>
    <x v="11"/>
    <x v="5"/>
    <x v="1"/>
    <x v="4"/>
    <n v="2000"/>
    <n v="2000"/>
    <x v="1"/>
    <s v="Kuryente"/>
  </r>
  <r>
    <x v="11"/>
    <x v="5"/>
    <x v="1"/>
    <x v="7"/>
    <n v="500"/>
    <n v="500"/>
    <x v="2"/>
    <s v="cath pamasahe sa trece"/>
  </r>
  <r>
    <x v="11"/>
    <x v="5"/>
    <x v="1"/>
    <x v="5"/>
    <n v="500"/>
    <n v="500"/>
    <x v="2"/>
    <s v="Toiletries"/>
  </r>
  <r>
    <x v="11"/>
    <x v="5"/>
    <x v="1"/>
    <x v="5"/>
    <n v="2500"/>
    <n v="2500"/>
    <x v="2"/>
    <s v="Food"/>
  </r>
  <r>
    <x v="11"/>
    <x v="5"/>
    <x v="1"/>
    <x v="10"/>
    <n v="1000"/>
    <n v="1000"/>
    <x v="2"/>
    <s v="School"/>
  </r>
  <r>
    <x v="12"/>
    <x v="5"/>
    <x v="0"/>
    <x v="0"/>
    <n v="16500"/>
    <m/>
    <x v="0"/>
    <m/>
  </r>
  <r>
    <x v="12"/>
    <x v="5"/>
    <x v="0"/>
    <x v="1"/>
    <n v="8000"/>
    <m/>
    <x v="0"/>
    <m/>
  </r>
  <r>
    <x v="12"/>
    <x v="5"/>
    <x v="1"/>
    <x v="2"/>
    <n v="7000"/>
    <n v="7000"/>
    <x v="1"/>
    <s v="Car update"/>
  </r>
  <r>
    <x v="12"/>
    <x v="5"/>
    <x v="1"/>
    <x v="6"/>
    <n v="3460"/>
    <n v="3460"/>
    <x v="1"/>
    <s v="Ate"/>
  </r>
  <r>
    <x v="12"/>
    <x v="5"/>
    <x v="1"/>
    <x v="5"/>
    <n v="2500"/>
    <n v="2500"/>
    <x v="2"/>
    <s v="food"/>
  </r>
  <r>
    <x v="12"/>
    <x v="5"/>
    <x v="1"/>
    <x v="5"/>
    <n v="1800"/>
    <n v="1800"/>
    <x v="2"/>
    <s v="Milk"/>
  </r>
  <r>
    <x v="12"/>
    <x v="5"/>
    <x v="1"/>
    <x v="5"/>
    <n v="500"/>
    <n v="500"/>
    <x v="2"/>
    <s v="Diaper"/>
  </r>
  <r>
    <x v="12"/>
    <x v="5"/>
    <x v="1"/>
    <x v="4"/>
    <n v="500"/>
    <n v="500"/>
    <x v="1"/>
    <s v="Water"/>
  </r>
  <r>
    <x v="12"/>
    <x v="5"/>
    <x v="1"/>
    <x v="7"/>
    <n v="500"/>
    <n v="500"/>
    <x v="2"/>
    <s v="Cath pamasahe sa trece"/>
  </r>
  <r>
    <x v="12"/>
    <x v="5"/>
    <x v="1"/>
    <x v="9"/>
    <n v="1000"/>
    <n v="1000"/>
    <x v="2"/>
    <s v="Fuel"/>
  </r>
  <r>
    <x v="12"/>
    <x v="5"/>
    <x v="1"/>
    <x v="11"/>
    <n v="1000"/>
    <n v="1000"/>
    <x v="1"/>
    <s v="Car Maintenance"/>
  </r>
  <r>
    <x v="13"/>
    <x v="6"/>
    <x v="0"/>
    <x v="0"/>
    <n v="16500"/>
    <m/>
    <x v="0"/>
    <m/>
  </r>
  <r>
    <x v="13"/>
    <x v="6"/>
    <x v="0"/>
    <x v="1"/>
    <n v="8000"/>
    <m/>
    <x v="0"/>
    <m/>
  </r>
  <r>
    <x v="13"/>
    <x v="6"/>
    <x v="1"/>
    <x v="3"/>
    <n v="10000"/>
    <n v="10000"/>
    <x v="1"/>
    <s v="House"/>
  </r>
  <r>
    <x v="13"/>
    <x v="6"/>
    <x v="1"/>
    <x v="4"/>
    <n v="899"/>
    <n v="899"/>
    <x v="1"/>
    <s v="Internet"/>
  </r>
  <r>
    <x v="13"/>
    <x v="6"/>
    <x v="1"/>
    <x v="5"/>
    <n v="2000"/>
    <n v="2000"/>
    <x v="2"/>
    <s v="Milk"/>
  </r>
  <r>
    <x v="13"/>
    <x v="6"/>
    <x v="1"/>
    <x v="4"/>
    <n v="2000"/>
    <n v="2000"/>
    <x v="1"/>
    <s v="Kuryente"/>
  </r>
  <r>
    <x v="13"/>
    <x v="6"/>
    <x v="1"/>
    <x v="7"/>
    <n v="500"/>
    <n v="500"/>
    <x v="2"/>
    <s v="cath pamasahe sa trece"/>
  </r>
  <r>
    <x v="13"/>
    <x v="6"/>
    <x v="1"/>
    <x v="5"/>
    <n v="500"/>
    <n v="500"/>
    <x v="2"/>
    <s v="Toiletries"/>
  </r>
  <r>
    <x v="13"/>
    <x v="6"/>
    <x v="1"/>
    <x v="5"/>
    <n v="2500"/>
    <n v="2500"/>
    <x v="2"/>
    <s v="Food"/>
  </r>
  <r>
    <x v="13"/>
    <x v="6"/>
    <x v="1"/>
    <x v="10"/>
    <n v="1000"/>
    <n v="1000"/>
    <x v="2"/>
    <s v="School"/>
  </r>
  <r>
    <x v="14"/>
    <x v="6"/>
    <x v="0"/>
    <x v="0"/>
    <n v="16500"/>
    <m/>
    <x v="0"/>
    <m/>
  </r>
  <r>
    <x v="14"/>
    <x v="6"/>
    <x v="0"/>
    <x v="1"/>
    <n v="8000"/>
    <m/>
    <x v="0"/>
    <m/>
  </r>
  <r>
    <x v="14"/>
    <x v="6"/>
    <x v="1"/>
    <x v="2"/>
    <n v="7000"/>
    <n v="7000"/>
    <x v="1"/>
    <s v="Car update"/>
  </r>
  <r>
    <x v="14"/>
    <x v="6"/>
    <x v="1"/>
    <x v="6"/>
    <n v="3460"/>
    <n v="3460"/>
    <x v="1"/>
    <s v="Ate"/>
  </r>
  <r>
    <x v="14"/>
    <x v="6"/>
    <x v="1"/>
    <x v="5"/>
    <n v="2500"/>
    <n v="2500"/>
    <x v="2"/>
    <s v="food"/>
  </r>
  <r>
    <x v="14"/>
    <x v="6"/>
    <x v="1"/>
    <x v="5"/>
    <n v="1800"/>
    <n v="1800"/>
    <x v="2"/>
    <s v="Milk"/>
  </r>
  <r>
    <x v="14"/>
    <x v="6"/>
    <x v="1"/>
    <x v="5"/>
    <n v="500"/>
    <n v="500"/>
    <x v="2"/>
    <s v="Diaper"/>
  </r>
  <r>
    <x v="14"/>
    <x v="6"/>
    <x v="1"/>
    <x v="4"/>
    <n v="500"/>
    <n v="500"/>
    <x v="1"/>
    <s v="Water"/>
  </r>
  <r>
    <x v="14"/>
    <x v="6"/>
    <x v="1"/>
    <x v="7"/>
    <n v="500"/>
    <n v="500"/>
    <x v="2"/>
    <s v="Cath pamasahe sa trece"/>
  </r>
  <r>
    <x v="14"/>
    <x v="6"/>
    <x v="1"/>
    <x v="9"/>
    <n v="1000"/>
    <n v="1000"/>
    <x v="2"/>
    <s v="Fuel"/>
  </r>
  <r>
    <x v="14"/>
    <x v="6"/>
    <x v="1"/>
    <x v="11"/>
    <n v="1000"/>
    <n v="1000"/>
    <x v="1"/>
    <s v="Car Maintenance"/>
  </r>
  <r>
    <x v="15"/>
    <x v="7"/>
    <x v="0"/>
    <x v="0"/>
    <n v="16500"/>
    <m/>
    <x v="0"/>
    <m/>
  </r>
  <r>
    <x v="15"/>
    <x v="7"/>
    <x v="0"/>
    <x v="1"/>
    <n v="8000"/>
    <m/>
    <x v="0"/>
    <m/>
  </r>
  <r>
    <x v="15"/>
    <x v="7"/>
    <x v="1"/>
    <x v="3"/>
    <n v="10000"/>
    <n v="10000"/>
    <x v="1"/>
    <s v="House"/>
  </r>
  <r>
    <x v="15"/>
    <x v="7"/>
    <x v="1"/>
    <x v="4"/>
    <n v="899"/>
    <n v="899"/>
    <x v="1"/>
    <s v="Internet"/>
  </r>
  <r>
    <x v="15"/>
    <x v="7"/>
    <x v="1"/>
    <x v="5"/>
    <n v="1800"/>
    <n v="1800"/>
    <x v="2"/>
    <s v="Milk"/>
  </r>
  <r>
    <x v="15"/>
    <x v="7"/>
    <x v="1"/>
    <x v="4"/>
    <n v="2000"/>
    <n v="2000"/>
    <x v="1"/>
    <s v="Kuryente"/>
  </r>
  <r>
    <x v="15"/>
    <x v="7"/>
    <x v="1"/>
    <x v="7"/>
    <n v="500"/>
    <n v="500"/>
    <x v="2"/>
    <s v="cath pamasahe sa trece"/>
  </r>
  <r>
    <x v="15"/>
    <x v="7"/>
    <x v="1"/>
    <x v="5"/>
    <n v="500"/>
    <n v="500"/>
    <x v="2"/>
    <s v="Toiletries"/>
  </r>
  <r>
    <x v="15"/>
    <x v="7"/>
    <x v="1"/>
    <x v="5"/>
    <n v="2500"/>
    <n v="2500"/>
    <x v="2"/>
    <s v="Food"/>
  </r>
  <r>
    <x v="15"/>
    <x v="7"/>
    <x v="1"/>
    <x v="10"/>
    <n v="1000"/>
    <n v="1000"/>
    <x v="2"/>
    <s v="School"/>
  </r>
  <r>
    <x v="15"/>
    <x v="7"/>
    <x v="1"/>
    <x v="8"/>
    <n v="4000"/>
    <n v="4000"/>
    <x v="3"/>
    <s v="Cath bday"/>
  </r>
  <r>
    <x v="16"/>
    <x v="7"/>
    <x v="0"/>
    <x v="0"/>
    <n v="16500"/>
    <m/>
    <x v="0"/>
    <m/>
  </r>
  <r>
    <x v="16"/>
    <x v="7"/>
    <x v="0"/>
    <x v="1"/>
    <n v="8000"/>
    <m/>
    <x v="0"/>
    <m/>
  </r>
  <r>
    <x v="16"/>
    <x v="7"/>
    <x v="1"/>
    <x v="2"/>
    <n v="7000"/>
    <n v="7000"/>
    <x v="1"/>
    <s v="Car update"/>
  </r>
  <r>
    <x v="16"/>
    <x v="7"/>
    <x v="1"/>
    <x v="6"/>
    <n v="3460"/>
    <n v="3460"/>
    <x v="1"/>
    <s v="Ate"/>
  </r>
  <r>
    <x v="16"/>
    <x v="7"/>
    <x v="1"/>
    <x v="5"/>
    <n v="2500"/>
    <n v="2500"/>
    <x v="2"/>
    <s v="food"/>
  </r>
  <r>
    <x v="16"/>
    <x v="7"/>
    <x v="1"/>
    <x v="5"/>
    <n v="1800"/>
    <n v="1800"/>
    <x v="2"/>
    <s v="Milk"/>
  </r>
  <r>
    <x v="16"/>
    <x v="7"/>
    <x v="1"/>
    <x v="5"/>
    <n v="500"/>
    <n v="500"/>
    <x v="2"/>
    <s v="Diaper"/>
  </r>
  <r>
    <x v="16"/>
    <x v="7"/>
    <x v="1"/>
    <x v="4"/>
    <n v="500"/>
    <n v="500"/>
    <x v="1"/>
    <s v="Water"/>
  </r>
  <r>
    <x v="16"/>
    <x v="7"/>
    <x v="1"/>
    <x v="7"/>
    <n v="500"/>
    <n v="500"/>
    <x v="2"/>
    <s v="Cath pamasahe sa trece"/>
  </r>
  <r>
    <x v="16"/>
    <x v="7"/>
    <x v="1"/>
    <x v="9"/>
    <n v="1000"/>
    <n v="1000"/>
    <x v="2"/>
    <s v="Fuel"/>
  </r>
  <r>
    <x v="16"/>
    <x v="7"/>
    <x v="1"/>
    <x v="11"/>
    <n v="1000"/>
    <n v="1000"/>
    <x v="1"/>
    <s v="Car Maintenance"/>
  </r>
  <r>
    <x v="17"/>
    <x v="8"/>
    <x v="0"/>
    <x v="0"/>
    <n v="16500"/>
    <m/>
    <x v="0"/>
    <m/>
  </r>
  <r>
    <x v="17"/>
    <x v="8"/>
    <x v="0"/>
    <x v="1"/>
    <n v="8000"/>
    <m/>
    <x v="0"/>
    <m/>
  </r>
  <r>
    <x v="18"/>
    <x v="8"/>
    <x v="1"/>
    <x v="3"/>
    <n v="10000"/>
    <n v="10000"/>
    <x v="1"/>
    <s v="House"/>
  </r>
  <r>
    <x v="18"/>
    <x v="8"/>
    <x v="1"/>
    <x v="4"/>
    <n v="899"/>
    <n v="899"/>
    <x v="1"/>
    <s v="Internet"/>
  </r>
  <r>
    <x v="18"/>
    <x v="8"/>
    <x v="1"/>
    <x v="5"/>
    <n v="1800"/>
    <n v="1800"/>
    <x v="2"/>
    <s v="Milk"/>
  </r>
  <r>
    <x v="18"/>
    <x v="8"/>
    <x v="1"/>
    <x v="4"/>
    <n v="2000"/>
    <n v="2000"/>
    <x v="1"/>
    <s v="Kuryente"/>
  </r>
  <r>
    <x v="18"/>
    <x v="8"/>
    <x v="1"/>
    <x v="7"/>
    <n v="500"/>
    <n v="500"/>
    <x v="2"/>
    <s v="cath pamasahe sa trece"/>
  </r>
  <r>
    <x v="18"/>
    <x v="8"/>
    <x v="1"/>
    <x v="5"/>
    <n v="500"/>
    <n v="500"/>
    <x v="2"/>
    <s v="Toiletries"/>
  </r>
  <r>
    <x v="18"/>
    <x v="8"/>
    <x v="1"/>
    <x v="5"/>
    <n v="2500"/>
    <n v="2500"/>
    <x v="2"/>
    <s v="Food"/>
  </r>
  <r>
    <x v="18"/>
    <x v="8"/>
    <x v="1"/>
    <x v="10"/>
    <n v="1000"/>
    <n v="1000"/>
    <x v="2"/>
    <s v="School"/>
  </r>
  <r>
    <x v="18"/>
    <x v="8"/>
    <x v="1"/>
    <x v="8"/>
    <n v="4000"/>
    <n v="4000"/>
    <x v="3"/>
    <s v="Christmas"/>
  </r>
  <r>
    <x v="19"/>
    <x v="8"/>
    <x v="0"/>
    <x v="0"/>
    <n v="16500"/>
    <m/>
    <x v="0"/>
    <m/>
  </r>
  <r>
    <x v="19"/>
    <x v="8"/>
    <x v="0"/>
    <x v="1"/>
    <n v="8000"/>
    <m/>
    <x v="0"/>
    <m/>
  </r>
  <r>
    <x v="19"/>
    <x v="8"/>
    <x v="1"/>
    <x v="2"/>
    <n v="7000"/>
    <n v="7000"/>
    <x v="1"/>
    <s v="Car update"/>
  </r>
  <r>
    <x v="19"/>
    <x v="8"/>
    <x v="1"/>
    <x v="6"/>
    <n v="3460"/>
    <n v="3460"/>
    <x v="1"/>
    <s v="Ate"/>
  </r>
  <r>
    <x v="19"/>
    <x v="8"/>
    <x v="1"/>
    <x v="5"/>
    <n v="2500"/>
    <n v="2500"/>
    <x v="2"/>
    <s v="food"/>
  </r>
  <r>
    <x v="19"/>
    <x v="8"/>
    <x v="1"/>
    <x v="5"/>
    <n v="1800"/>
    <n v="1800"/>
    <x v="2"/>
    <s v="Milk"/>
  </r>
  <r>
    <x v="19"/>
    <x v="8"/>
    <x v="1"/>
    <x v="5"/>
    <n v="500"/>
    <n v="500"/>
    <x v="2"/>
    <s v="Diaper"/>
  </r>
  <r>
    <x v="19"/>
    <x v="8"/>
    <x v="1"/>
    <x v="4"/>
    <n v="500"/>
    <n v="500"/>
    <x v="1"/>
    <s v="Water"/>
  </r>
  <r>
    <x v="19"/>
    <x v="8"/>
    <x v="1"/>
    <x v="7"/>
    <n v="500"/>
    <n v="500"/>
    <x v="2"/>
    <s v="Cath pamasahe sa trece"/>
  </r>
  <r>
    <x v="19"/>
    <x v="8"/>
    <x v="1"/>
    <x v="9"/>
    <n v="1000"/>
    <n v="1000"/>
    <x v="2"/>
    <s v="Fuel"/>
  </r>
  <r>
    <x v="19"/>
    <x v="8"/>
    <x v="1"/>
    <x v="11"/>
    <n v="1000"/>
    <n v="1000"/>
    <x v="1"/>
    <s v="Car Maintenance"/>
  </r>
  <r>
    <x v="19"/>
    <x v="8"/>
    <x v="1"/>
    <x v="8"/>
    <n v="4000"/>
    <n v="4000"/>
    <x v="3"/>
    <s v="New year"/>
  </r>
  <r>
    <x v="20"/>
    <x v="9"/>
    <x v="0"/>
    <x v="0"/>
    <n v="16500"/>
    <m/>
    <x v="0"/>
    <m/>
  </r>
  <r>
    <x v="20"/>
    <x v="9"/>
    <x v="0"/>
    <x v="1"/>
    <n v="7000"/>
    <m/>
    <x v="0"/>
    <m/>
  </r>
  <r>
    <x v="20"/>
    <x v="9"/>
    <x v="1"/>
    <x v="3"/>
    <n v="10000"/>
    <n v="1000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08E545-6503-457C-8732-EFCE8999FD97}" name="PivotTable8" cacheId="8"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115:E127" firstHeaderRow="1" firstDataRow="2"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axis="axisRow" showAll="0">
      <items count="11">
        <item x="9"/>
        <item x="0"/>
        <item x="1"/>
        <item x="2"/>
        <item x="3"/>
        <item x="4"/>
        <item x="5"/>
        <item x="6"/>
        <item x="7"/>
        <item x="8"/>
        <item t="default"/>
      </items>
    </pivotField>
    <pivotField axis="axisCol" showAll="0">
      <items count="4">
        <item x="1"/>
        <item x="0"/>
        <item m="1" x="2"/>
        <item t="default"/>
      </items>
    </pivotField>
    <pivotField showAll="0"/>
    <pivotField dataField="1" numFmtId="3" showAll="0"/>
    <pivotField showAll="0"/>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Fields count="1">
    <field x="2"/>
  </colFields>
  <colItems count="3">
    <i>
      <x/>
    </i>
    <i>
      <x v="1"/>
    </i>
    <i t="grand">
      <x/>
    </i>
  </colItems>
  <dataFields count="1">
    <dataField name="Sum of Amount" fld="4" baseField="0" baseItem="0" numFmtId="3"/>
  </dataFields>
  <pivotTableStyleInfo name="PivotStyleLight16" showRowHeaders="1" showColHeaders="1" showRowStripes="0" showColStripes="0" showLastColumn="1"/>
  <filters count="1">
    <filter fld="0" type="dateBetween" evalOrder="-1" id="24" name="Date">
      <autoFilter ref="A1">
        <filterColumn colId="0">
          <customFilters and="1">
            <customFilter operator="greaterThanOrEqual" val="46143"/>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A854ED-A408-4719-8D31-07B407A0FA25}"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Total by Category">
  <location ref="B40:C51" firstHeaderRow="1" firstDataRow="1"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showAll="0">
      <items count="11">
        <item x="9"/>
        <item x="0"/>
        <item x="1"/>
        <item x="2"/>
        <item x="3"/>
        <item x="4"/>
        <item x="5"/>
        <item x="6"/>
        <item x="7"/>
        <item x="8"/>
        <item t="default"/>
      </items>
    </pivotField>
    <pivotField showAll="0"/>
    <pivotField axis="axisRow" showAll="0" sortType="ascending">
      <items count="13">
        <item x="4"/>
        <item x="10"/>
        <item x="3"/>
        <item x="7"/>
        <item x="8"/>
        <item x="6"/>
        <item x="5"/>
        <item x="9"/>
        <item h="1" x="0"/>
        <item h="1" x="1"/>
        <item x="2"/>
        <item x="11"/>
        <item t="default"/>
      </items>
      <autoSortScope>
        <pivotArea dataOnly="0" outline="0" fieldPosition="0">
          <references count="1">
            <reference field="4294967294" count="1" selected="0">
              <x v="0"/>
            </reference>
          </references>
        </pivotArea>
      </autoSortScope>
    </pivotField>
    <pivotField dataField="1" numFmtId="3" showAll="0"/>
    <pivotField showAll="0"/>
    <pivotField showAll="0">
      <items count="5">
        <item x="1"/>
        <item x="2"/>
        <item x="0"/>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11"/>
    </i>
    <i>
      <x v="1"/>
    </i>
    <i>
      <x v="7"/>
    </i>
    <i>
      <x v="3"/>
    </i>
    <i>
      <x v="4"/>
    </i>
    <i>
      <x/>
    </i>
    <i>
      <x v="5"/>
    </i>
    <i>
      <x v="10"/>
    </i>
    <i>
      <x v="6"/>
    </i>
    <i>
      <x v="2"/>
    </i>
    <i t="grand">
      <x/>
    </i>
  </rowItems>
  <colItems count="1">
    <i/>
  </colItems>
  <dataFields count="1">
    <dataField name="Sum of Amount" fld="4" baseField="0" baseItem="0" numFmtId="3"/>
  </dataFields>
  <chartFormats count="3">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600F5-8909-4E21-B1DB-1A5156F6ED13}" name="PivotTable5"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84:E96" firstHeaderRow="1" firstDataRow="2"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axis="axisRow" showAll="0">
      <items count="11">
        <item x="9"/>
        <item x="0"/>
        <item x="1"/>
        <item x="2"/>
        <item x="3"/>
        <item x="4"/>
        <item x="5"/>
        <item x="6"/>
        <item x="7"/>
        <item x="8"/>
        <item t="default"/>
      </items>
    </pivotField>
    <pivotField axis="axisCol" showAll="0">
      <items count="4">
        <item x="1"/>
        <item x="0"/>
        <item m="1" x="2"/>
        <item t="default"/>
      </items>
    </pivotField>
    <pivotField showAll="0"/>
    <pivotField dataField="1" numFmtId="3"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Fields count="1">
    <field x="2"/>
  </colFields>
  <colItems count="3">
    <i>
      <x/>
    </i>
    <i>
      <x v="1"/>
    </i>
    <i t="grand">
      <x/>
    </i>
  </colItems>
  <dataFields count="1">
    <dataField name="Max Amount of Income/Expenses" fld="4" subtotal="max" baseField="1"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4DE4A-FE05-4785-9B27-A0F6A245FA74}" name="PivotTable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Percentage by SubCategory">
  <location ref="B31:D36" firstHeaderRow="0" firstDataRow="1"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showAll="0">
      <items count="11">
        <item x="9"/>
        <item x="0"/>
        <item x="1"/>
        <item x="2"/>
        <item x="3"/>
        <item x="4"/>
        <item x="5"/>
        <item x="6"/>
        <item x="7"/>
        <item x="8"/>
        <item t="default"/>
      </items>
    </pivotField>
    <pivotField showAll="0"/>
    <pivotField showAll="0"/>
    <pivotField dataField="1" numFmtId="3" showAll="0"/>
    <pivotField showAll="0"/>
    <pivotField axis="axisRow" dataField="1" showAll="0">
      <items count="5">
        <item x="1"/>
        <item x="2"/>
        <item x="0"/>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Fields count="1">
    <field x="-2"/>
  </colFields>
  <colItems count="2">
    <i>
      <x/>
    </i>
    <i i="1">
      <x v="1"/>
    </i>
  </colItems>
  <dataFields count="2">
    <dataField name="Count of Subcategory" fld="6" subtotal="count" showDataAs="percentOfCol" baseField="5" baseItem="0" numFmtId="164"/>
    <dataField name="Sum of Amount" fld="4" baseField="0" baseItem="0" numFmtId="3"/>
  </dataFields>
  <chartFormats count="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198189-5ADE-42E1-A2AC-86A1A30B242C}" name="PTable_Main"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colHeaderCaption="Expense">
  <location ref="B3:E15" firstHeaderRow="1" firstDataRow="2" firstDataCol="1"/>
  <pivotFields count="10">
    <pivotField numFmtId="14" showAll="0">
      <items count="23">
        <item x="0"/>
        <item x="1"/>
        <item x="2"/>
        <item x="3"/>
        <item x="4"/>
        <item x="5"/>
        <item x="6"/>
        <item x="7"/>
        <item x="8"/>
        <item x="9"/>
        <item x="10"/>
        <item x="11"/>
        <item x="12"/>
        <item x="13"/>
        <item x="14"/>
        <item x="15"/>
        <item x="16"/>
        <item x="17"/>
        <item x="18"/>
        <item x="19"/>
        <item m="1" x="21"/>
        <item x="20"/>
        <item t="default"/>
      </items>
    </pivotField>
    <pivotField axis="axisRow" showAll="0">
      <items count="11">
        <item x="0"/>
        <item x="1"/>
        <item x="2"/>
        <item x="3"/>
        <item x="4"/>
        <item x="5"/>
        <item x="6"/>
        <item x="7"/>
        <item x="8"/>
        <item x="9"/>
        <item t="default"/>
      </items>
    </pivotField>
    <pivotField axis="axisCol" showAll="0">
      <items count="4">
        <item x="1"/>
        <item x="0"/>
        <item m="1" x="2"/>
        <item t="default"/>
      </items>
    </pivotField>
    <pivotField showAll="0"/>
    <pivotField dataField="1" numFmtId="3"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Fields count="1">
    <field x="2"/>
  </colFields>
  <colItems count="3">
    <i>
      <x/>
    </i>
    <i>
      <x v="1"/>
    </i>
    <i t="grand">
      <x/>
    </i>
  </colItems>
  <dataFields count="1">
    <dataField name="Amount of Cash Flows by Month" fld="4" baseField="0" baseItem="0" numFmtId="3"/>
  </dataFields>
  <chartFormats count="18">
    <chartFormat chart="47" format="10" series="1">
      <pivotArea type="data" outline="0" fieldPosition="0">
        <references count="1">
          <reference field="4294967294" count="1" selected="0">
            <x v="0"/>
          </reference>
        </references>
      </pivotArea>
    </chartFormat>
    <chartFormat chart="22" format="27" series="1">
      <pivotArea type="data" outline="0" fieldPosition="0">
        <references count="1">
          <reference field="4294967294" count="1" selected="0">
            <x v="0"/>
          </reference>
        </references>
      </pivotArea>
    </chartFormat>
    <chartFormat chart="47" format="12" series="1">
      <pivotArea type="data" outline="0" fieldPosition="0">
        <references count="2">
          <reference field="4294967294" count="1" selected="0">
            <x v="0"/>
          </reference>
          <reference field="2" count="1" selected="0">
            <x v="1"/>
          </reference>
        </references>
      </pivotArea>
    </chartFormat>
    <chartFormat chart="22" format="29" series="1">
      <pivotArea type="data" outline="0" fieldPosition="0">
        <references count="2">
          <reference field="4294967294" count="1" selected="0">
            <x v="0"/>
          </reference>
          <reference field="2" count="1" selected="0">
            <x v="1"/>
          </reference>
        </references>
      </pivotArea>
    </chartFormat>
    <chartFormat chart="22" format="30" series="1">
      <pivotArea type="data" outline="0" fieldPosition="0">
        <references count="2">
          <reference field="4294967294" count="1" selected="0">
            <x v="0"/>
          </reference>
          <reference field="2" count="1" selected="0">
            <x v="0"/>
          </reference>
        </references>
      </pivotArea>
    </chartFormat>
    <chartFormat chart="47" format="13" series="1">
      <pivotArea type="data" outline="0" fieldPosition="0">
        <references count="2">
          <reference field="4294967294" count="1" selected="0">
            <x v="0"/>
          </reference>
          <reference field="2" count="1" selected="0">
            <x v="0"/>
          </reference>
        </references>
      </pivotArea>
    </chartFormat>
    <chartFormat chart="22" format="31">
      <pivotArea type="data" outline="0" fieldPosition="0">
        <references count="3">
          <reference field="4294967294" count="1" selected="0">
            <x v="0"/>
          </reference>
          <reference field="1" count="1" selected="0">
            <x v="0"/>
          </reference>
          <reference field="2" count="1" selected="0">
            <x v="1"/>
          </reference>
        </references>
      </pivotArea>
    </chartFormat>
    <chartFormat chart="22" format="32">
      <pivotArea type="data" outline="0" fieldPosition="0">
        <references count="3">
          <reference field="4294967294" count="1" selected="0">
            <x v="0"/>
          </reference>
          <reference field="1" count="1" selected="0">
            <x v="1"/>
          </reference>
          <reference field="2" count="1" selected="0">
            <x v="1"/>
          </reference>
        </references>
      </pivotArea>
    </chartFormat>
    <chartFormat chart="22" format="33">
      <pivotArea type="data" outline="0" fieldPosition="0">
        <references count="3">
          <reference field="4294967294" count="1" selected="0">
            <x v="0"/>
          </reference>
          <reference field="1" count="1" selected="0">
            <x v="2"/>
          </reference>
          <reference field="2" count="1" selected="0">
            <x v="1"/>
          </reference>
        </references>
      </pivotArea>
    </chartFormat>
    <chartFormat chart="22" format="34">
      <pivotArea type="data" outline="0" fieldPosition="0">
        <references count="3">
          <reference field="4294967294" count="1" selected="0">
            <x v="0"/>
          </reference>
          <reference field="1" count="1" selected="0">
            <x v="3"/>
          </reference>
          <reference field="2" count="1" selected="0">
            <x v="1"/>
          </reference>
        </references>
      </pivotArea>
    </chartFormat>
    <chartFormat chart="22" format="35">
      <pivotArea type="data" outline="0" fieldPosition="0">
        <references count="3">
          <reference field="4294967294" count="1" selected="0">
            <x v="0"/>
          </reference>
          <reference field="1" count="1" selected="0">
            <x v="4"/>
          </reference>
          <reference field="2" count="1" selected="0">
            <x v="1"/>
          </reference>
        </references>
      </pivotArea>
    </chartFormat>
    <chartFormat chart="22" format="36">
      <pivotArea type="data" outline="0" fieldPosition="0">
        <references count="3">
          <reference field="4294967294" count="1" selected="0">
            <x v="0"/>
          </reference>
          <reference field="1" count="1" selected="0">
            <x v="5"/>
          </reference>
          <reference field="2" count="1" selected="0">
            <x v="1"/>
          </reference>
        </references>
      </pivotArea>
    </chartFormat>
    <chartFormat chart="22" format="37">
      <pivotArea type="data" outline="0" fieldPosition="0">
        <references count="3">
          <reference field="4294967294" count="1" selected="0">
            <x v="0"/>
          </reference>
          <reference field="1" count="1" selected="0">
            <x v="6"/>
          </reference>
          <reference field="2" count="1" selected="0">
            <x v="1"/>
          </reference>
        </references>
      </pivotArea>
    </chartFormat>
    <chartFormat chart="22" format="38">
      <pivotArea type="data" outline="0" fieldPosition="0">
        <references count="3">
          <reference field="4294967294" count="1" selected="0">
            <x v="0"/>
          </reference>
          <reference field="1" count="1" selected="0">
            <x v="7"/>
          </reference>
          <reference field="2" count="1" selected="0">
            <x v="1"/>
          </reference>
        </references>
      </pivotArea>
    </chartFormat>
    <chartFormat chart="22" format="39">
      <pivotArea type="data" outline="0" fieldPosition="0">
        <references count="3">
          <reference field="4294967294" count="1" selected="0">
            <x v="0"/>
          </reference>
          <reference field="1" count="1" selected="0">
            <x v="8"/>
          </reference>
          <reference field="2" count="1" selected="0">
            <x v="1"/>
          </reference>
        </references>
      </pivotArea>
    </chartFormat>
    <chartFormat chart="47" format="14" series="1">
      <pivotArea type="data" outline="0" fieldPosition="0">
        <references count="2">
          <reference field="4294967294" count="1" selected="0">
            <x v="0"/>
          </reference>
          <reference field="2" count="1" selected="0">
            <x v="2"/>
          </reference>
        </references>
      </pivotArea>
    </chartFormat>
    <chartFormat chart="22" format="40" series="1">
      <pivotArea type="data" outline="0" fieldPosition="0">
        <references count="2">
          <reference field="4294967294" count="1" selected="0">
            <x v="0"/>
          </reference>
          <reference field="2" count="1" selected="0">
            <x v="2"/>
          </reference>
        </references>
      </pivotArea>
    </chartFormat>
    <chartFormat chart="22" format="41">
      <pivotArea type="data" outline="0" fieldPosition="0">
        <references count="3">
          <reference field="4294967294" count="1" selected="0">
            <x v="0"/>
          </reference>
          <reference field="1" count="1" selected="0">
            <x v="9"/>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3A567F-DC85-4814-8D39-14E0CAE84711}"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Total by Category">
  <location ref="E40:F51" firstHeaderRow="1" firstDataRow="1"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showAll="0">
      <items count="11">
        <item x="9"/>
        <item x="0"/>
        <item x="1"/>
        <item x="2"/>
        <item x="3"/>
        <item x="4"/>
        <item x="5"/>
        <item x="6"/>
        <item x="7"/>
        <item x="8"/>
        <item t="default"/>
      </items>
    </pivotField>
    <pivotField showAll="0"/>
    <pivotField axis="axisRow" showAll="0" sortType="descending">
      <items count="13">
        <item x="4"/>
        <item x="10"/>
        <item x="3"/>
        <item x="7"/>
        <item x="8"/>
        <item x="6"/>
        <item x="5"/>
        <item x="9"/>
        <item h="1" x="0"/>
        <item h="1" x="1"/>
        <item x="2"/>
        <item x="11"/>
        <item t="default"/>
      </items>
      <autoSortScope>
        <pivotArea dataOnly="0" outline="0" fieldPosition="0">
          <references count="1">
            <reference field="4294967294" count="1" selected="0">
              <x v="0"/>
            </reference>
          </references>
        </pivotArea>
      </autoSortScope>
    </pivotField>
    <pivotField dataField="1" numFmtId="3" showAll="0"/>
    <pivotField showAll="0"/>
    <pivotField showAll="0">
      <items count="5">
        <item x="1"/>
        <item x="2"/>
        <item x="0"/>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2"/>
    </i>
    <i>
      <x v="6"/>
    </i>
    <i>
      <x v="10"/>
    </i>
    <i>
      <x v="5"/>
    </i>
    <i>
      <x/>
    </i>
    <i>
      <x v="4"/>
    </i>
    <i>
      <x v="3"/>
    </i>
    <i>
      <x v="7"/>
    </i>
    <i>
      <x v="1"/>
    </i>
    <i>
      <x v="11"/>
    </i>
    <i t="grand">
      <x/>
    </i>
  </rowItems>
  <colItems count="1">
    <i/>
  </colItems>
  <dataFields count="1">
    <dataField name="Sum of Amount" fld="4" baseField="0" baseItem="0" numFmtId="3"/>
  </dataFields>
  <chartFormats count="6">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3" count="1" selected="0">
            <x v="5"/>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FDE6CE-BB9D-4A24-810C-39A82E527217}" name="PivotTable1" cacheId="8"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otal Income/Expenses">
  <location ref="B22:C25" firstHeaderRow="1" firstDataRow="1" firstDataCol="1" rowPageCount="1" colPageCount="1"/>
  <pivotFields count="10">
    <pivotField numFmtId="14" showAll="0">
      <items count="23">
        <item x="0"/>
        <item x="1"/>
        <item x="2"/>
        <item x="3"/>
        <item x="4"/>
        <item x="5"/>
        <item x="6"/>
        <item x="7"/>
        <item x="8"/>
        <item x="9"/>
        <item x="10"/>
        <item x="11"/>
        <item x="12"/>
        <item x="13"/>
        <item x="14"/>
        <item x="15"/>
        <item x="16"/>
        <item x="17"/>
        <item x="18"/>
        <item x="19"/>
        <item m="1" x="21"/>
        <item x="20"/>
        <item t="default"/>
      </items>
    </pivotField>
    <pivotField axis="axisPage" multipleItemSelectionAllowed="1" showAll="0">
      <items count="11">
        <item x="0"/>
        <item x="1"/>
        <item x="2"/>
        <item x="3"/>
        <item x="4"/>
        <item x="5"/>
        <item x="6"/>
        <item x="7"/>
        <item x="8"/>
        <item x="9"/>
        <item t="default"/>
      </items>
    </pivotField>
    <pivotField axis="axisRow" showAll="0">
      <items count="4">
        <item x="1"/>
        <item x="0"/>
        <item m="1" x="2"/>
        <item t="default"/>
      </items>
    </pivotField>
    <pivotField showAll="0"/>
    <pivotField dataField="1" numFmtId="3"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pageFields count="1">
    <pageField fld="1" hier="-1"/>
  </pageFields>
  <dataFields count="1">
    <dataField name="Sum of Amount"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F489D1-0DFF-48C1-A468-08864BCBB52B}" name="PivotTable7"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9:E81" firstHeaderRow="1" firstDataRow="2"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axis="axisRow" showAll="0">
      <items count="11">
        <item x="9"/>
        <item x="0"/>
        <item x="1"/>
        <item x="2"/>
        <item x="3"/>
        <item x="4"/>
        <item x="5"/>
        <item x="6"/>
        <item x="7"/>
        <item x="8"/>
        <item t="default"/>
      </items>
    </pivotField>
    <pivotField axis="axisCol" showAll="0">
      <items count="4">
        <item x="1"/>
        <item x="0"/>
        <item m="1" x="2"/>
        <item t="default"/>
      </items>
    </pivotField>
    <pivotField showAll="0"/>
    <pivotField dataField="1" numFmtId="3"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Fields count="1">
    <field x="2"/>
  </colFields>
  <colItems count="3">
    <i>
      <x/>
    </i>
    <i>
      <x v="1"/>
    </i>
    <i t="grand">
      <x/>
    </i>
  </colItems>
  <dataFields count="1">
    <dataField name="Average Amount of Income/Expenses" fld="4" subtotal="average" baseField="1"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E7C188-9F3D-4268-A98D-FB08346D4131}"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01:D105" firstHeaderRow="0" firstDataRow="1"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showAll="0">
      <items count="11">
        <item x="9"/>
        <item x="0"/>
        <item x="1"/>
        <item x="2"/>
        <item x="3"/>
        <item x="4"/>
        <item x="5"/>
        <item x="6"/>
        <item x="7"/>
        <item x="8"/>
        <item t="default"/>
      </items>
    </pivotField>
    <pivotField showAll="0"/>
    <pivotField showAll="0"/>
    <pivotField dataField="1" numFmtId="3" showAll="0"/>
    <pivotField dataField="1" showAll="0"/>
    <pivotField axis="axisRow" showAll="0">
      <items count="5">
        <item x="1"/>
        <item x="2"/>
        <item h="1" x="0"/>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3"/>
    </i>
    <i t="grand">
      <x/>
    </i>
  </rowItems>
  <colFields count="1">
    <field x="-2"/>
  </colFields>
  <colItems count="2">
    <i>
      <x/>
    </i>
    <i i="1">
      <x v="1"/>
    </i>
  </colItems>
  <dataFields count="2">
    <dataField name="Sum of Amount" fld="4" baseField="0" baseItem="0" numFmtId="165"/>
    <dataField name="Sum of Actual" fld="5" baseField="0" baseItem="0"/>
  </dataFields>
  <formats count="2">
    <format dxfId="44">
      <pivotArea collapsedLevelsAreSubtotals="1" fieldPosition="0">
        <references count="2">
          <reference field="4294967294" count="1" selected="0">
            <x v="1"/>
          </reference>
          <reference field="6" count="0"/>
        </references>
      </pivotArea>
    </format>
    <format dxfId="43">
      <pivotArea outline="0" fieldPosition="0">
        <references count="1">
          <reference field="4294967294" count="1">
            <x v="0"/>
          </reference>
        </references>
      </pivotArea>
    </format>
  </formats>
  <chartFormats count="3">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8FB787-8D20-46F2-996B-B1730BC85364}" name="PivotTable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5:E67" firstHeaderRow="1" firstDataRow="2"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axis="axisRow" showAll="0">
      <items count="11">
        <item x="9"/>
        <item x="0"/>
        <item x="1"/>
        <item x="2"/>
        <item x="3"/>
        <item x="4"/>
        <item x="5"/>
        <item x="6"/>
        <item x="7"/>
        <item x="8"/>
        <item t="default"/>
      </items>
    </pivotField>
    <pivotField axis="axisCol" showAll="0">
      <items count="4">
        <item x="1"/>
        <item x="0"/>
        <item m="1" x="2"/>
        <item t="default"/>
      </items>
    </pivotField>
    <pivotField showAll="0"/>
    <pivotField dataField="1" numFmtId="3"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Fields count="1">
    <field x="2"/>
  </colFields>
  <colItems count="3">
    <i>
      <x/>
    </i>
    <i>
      <x v="1"/>
    </i>
    <i t="grand">
      <x/>
    </i>
  </colItems>
  <dataFields count="1">
    <dataField name="Min Amount of Income/Expenses" fld="4" subtotal="min" baseField="2"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2C6476-97FD-46A8-BEEE-E15BBBA85B26}"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9:B140" firstHeaderRow="1" firstDataRow="1" firstDataCol="1"/>
  <pivotFields count="10">
    <pivotField numFmtId="14" showAll="0">
      <items count="23">
        <item x="0"/>
        <item x="1"/>
        <item x="2"/>
        <item x="3"/>
        <item x="4"/>
        <item x="5"/>
        <item x="6"/>
        <item x="7"/>
        <item x="8"/>
        <item x="9"/>
        <item x="10"/>
        <item x="11"/>
        <item x="12"/>
        <item x="13"/>
        <item x="14"/>
        <item x="15"/>
        <item x="16"/>
        <item x="17"/>
        <item x="18"/>
        <item x="19"/>
        <item x="20"/>
        <item m="1" x="21"/>
        <item t="default"/>
      </items>
    </pivotField>
    <pivotField axis="axisRow" showAll="0">
      <items count="11">
        <item x="0"/>
        <item x="1"/>
        <item x="2"/>
        <item x="3"/>
        <item x="4"/>
        <item x="5"/>
        <item x="6"/>
        <item x="7"/>
        <item x="8"/>
        <item x="9"/>
        <item t="default"/>
      </items>
    </pivotField>
    <pivotField showAll="0"/>
    <pivotField showAll="0"/>
    <pivotField numFmtId="3"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FDDF4CF-648B-497A-A7C2-A2CD274F5AD1}" sourceName="Month">
  <pivotTables>
    <pivotTable tabId="12" name="PTable_Main"/>
    <pivotTable tabId="12" name="PivotTable1"/>
    <pivotTable tabId="12" name="PivotTable2"/>
    <pivotTable tabId="12" name="PivotTable4"/>
    <pivotTable tabId="12" name="PivotTable7"/>
    <pivotTable tabId="12" name="PivotTable5"/>
    <pivotTable tabId="12" name="PivotTable6"/>
    <pivotTable tabId="12" name="PivotTable12"/>
    <pivotTable tabId="12" name="PivotTable3"/>
    <pivotTable tabId="12" name="PivotTable9"/>
  </pivotTables>
  <data>
    <tabular pivotCacheId="79798781">
      <items count="10">
        <i x="9" s="1"/>
        <i x="0" s="1"/>
        <i x="1" s="1"/>
        <i x="2" s="1"/>
        <i x="3" s="1"/>
        <i x="4" s="1"/>
        <i x="5" s="1"/>
        <i x="6" s="1"/>
        <i x="7" s="1"/>
        <i x="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0EC70375-D0CE-40F4-84A3-BC4851D7F273}" sourceName="Subcategory">
  <pivotTables>
    <pivotTable tabId="12" name="PivotTable3"/>
    <pivotTable tabId="12" name="PivotTable9"/>
  </pivotTables>
  <data>
    <tabular pivotCacheId="79798781">
      <items count="4">
        <i x="1" s="1"/>
        <i x="2" s="1"/>
        <i x="3"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70B4141-9F71-45C1-8791-AD0CCD52FBED}" cache="Slicer_Month" caption="Month" columnCount="2" style="Slicer Style 5 2 2 2" rowHeight="209550"/>
  <slicer name="Month 2" xr10:uid="{C739843D-1CCD-4CED-AF27-D83B9CDD975E}" cache="Slicer_Month" columnCount="4" style="Slicer Style 5 2 2" rowHeight="137160"/>
  <slicer name="Subcategory" xr10:uid="{2FA96D64-5149-4AC6-9111-08274BC4280D}" cache="Slicer_Subcategory" columnCount="3" style="Slicer Style 5 2 2 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0497CA2-0808-467E-94D7-9BD4DD8A35F4}" cache="Slicer_Month" caption="Month" columnCount="2" style="Slicer Style 5 2" rowHeight="209550"/>
  <slicer name="Subcategory 1" xr10:uid="{9F4ED11A-49DB-4A55-963A-5FB3CAF09164}" cache="Slicer_Subcategory" columnCount="3" style="Slicer Style 5 2 2 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26FC9E-A611-461A-8BC8-5EA8048EA6FB}" name="Table1" displayName="Table1" ref="B2:I217" totalsRowShown="0" headerRowDxfId="42" dataDxfId="41" tableBorderDxfId="40">
  <autoFilter ref="B2:I217" xr:uid="{BC26FC9E-A611-461A-8BC8-5EA8048EA6FB}"/>
  <tableColumns count="8">
    <tableColumn id="1" xr3:uid="{95F9BA80-A6B5-4828-99F0-CBDED75CAA1E}" name="Date" dataDxfId="39"/>
    <tableColumn id="2" xr3:uid="{338CDA74-35B8-4093-8031-23C27730746E}" name="Month" dataDxfId="38">
      <calculatedColumnFormula>TEXT(B3,"mmm")</calculatedColumnFormula>
    </tableColumn>
    <tableColumn id="7" xr3:uid="{D79483A8-CB13-4077-A03B-E1F5446DFB07}" name="Cash Flow" dataDxfId="37">
      <calculatedColumnFormula>_xlfn.XLOOKUP(Table1[[#This Row],[Category]],Table2[Type],Table2[Cash Flow])</calculatedColumnFormula>
    </tableColumn>
    <tableColumn id="8" xr3:uid="{F49DF032-789F-4A91-A1BE-56049F57793E}" name="Category"/>
    <tableColumn id="3" xr3:uid="{F08B0EA8-DDEB-441E-98D9-285C3252210F}" name="Amount" dataDxfId="36"/>
    <tableColumn id="5" xr3:uid="{44778F3A-14CF-4A7F-800A-7BBFAE5D52AE}" name="Actual"/>
    <tableColumn id="4" xr3:uid="{FE063957-1457-42A6-B458-B87DCA163EA8}" name="Subcategory" dataDxfId="35">
      <calculatedColumnFormula>_xlfn.XLOOKUP(Table1[[#This Row],[Category]],Table2[Type],Table2[Sub Type])</calculatedColumnFormula>
    </tableColumn>
    <tableColumn id="6" xr3:uid="{0C9BC35B-769A-4782-95F1-A7FC1D0B0905}" name="Description_x000a_(optional)"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7D475E-AA90-4951-9A4D-B95BC8C25FF3}" name="Table2" displayName="Table2" ref="K2:M27" totalsRowShown="0" tableBorderDxfId="33">
  <autoFilter ref="K2:M27" xr:uid="{CE7D475E-AA90-4951-9A4D-B95BC8C25FF3}"/>
  <tableColumns count="3">
    <tableColumn id="1" xr3:uid="{3D00A687-CAB2-404F-953C-42F7C7DFB361}" name="Type" dataDxfId="32"/>
    <tableColumn id="2" xr3:uid="{3A3D4E41-FA28-47E1-99F6-83FF40EDB9FC}" name="Cash Flow" dataDxfId="31"/>
    <tableColumn id="3" xr3:uid="{E1B25F72-488A-456D-A8BF-6050642ACF81}" name="Sub Type"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1A978-1C05-4D57-A81B-E1DAD8230437}">
  <sheetPr codeName="Sheet1"/>
  <dimension ref="A1:Z33"/>
  <sheetViews>
    <sheetView tabSelected="1" topLeftCell="I4" zoomScale="98" zoomScaleNormal="98" workbookViewId="0">
      <selection activeCell="U15" sqref="U15"/>
    </sheetView>
  </sheetViews>
  <sheetFormatPr defaultColWidth="0" defaultRowHeight="15.75" zeroHeight="1"/>
  <cols>
    <col min="1" max="19" width="9" customWidth="1"/>
    <col min="20" max="20" width="12.75" customWidth="1"/>
    <col min="21" max="21" width="7.25" customWidth="1"/>
    <col min="22" max="22" width="14.625" customWidth="1"/>
    <col min="23" max="26" width="9" customWidth="1"/>
    <col min="27" max="16384" width="9" hidden="1"/>
  </cols>
  <sheetData>
    <row r="1" spans="1:22">
      <c r="A1" s="50"/>
      <c r="B1" s="50"/>
      <c r="C1" s="50"/>
      <c r="D1" s="50"/>
      <c r="E1" s="50"/>
      <c r="F1" s="50"/>
      <c r="G1" s="50"/>
      <c r="H1" s="50"/>
      <c r="I1" s="50"/>
      <c r="J1" s="50"/>
      <c r="K1" s="50"/>
      <c r="L1" s="50"/>
      <c r="M1" s="50"/>
      <c r="N1" s="50"/>
      <c r="O1" s="50"/>
      <c r="P1" s="50"/>
      <c r="Q1" s="50"/>
      <c r="R1" s="50"/>
      <c r="S1" s="50"/>
      <c r="U1" s="35">
        <f>IFERROR(GETPIVOTDATA("Sum of Amount",PivotTables!$B$22,"Cash Flow","Income"),0)</f>
        <v>466700</v>
      </c>
      <c r="V1" s="35">
        <f>IFERROR(GETPIVOTDATA("Sum of Amount",PivotTables!$B$22,"Cash Flow","Income"),0)</f>
        <v>466700</v>
      </c>
    </row>
    <row r="2" spans="1:22">
      <c r="A2" s="50"/>
      <c r="B2" s="50"/>
      <c r="C2" s="50"/>
      <c r="D2" s="50"/>
      <c r="E2" s="50"/>
      <c r="F2" s="50"/>
      <c r="G2" s="50"/>
      <c r="H2" s="50"/>
      <c r="I2" s="50"/>
      <c r="J2" s="50"/>
      <c r="K2" s="50"/>
      <c r="L2" s="50"/>
      <c r="M2" s="50"/>
      <c r="N2" s="50"/>
      <c r="O2" s="50"/>
      <c r="P2" s="50"/>
      <c r="Q2" s="50"/>
      <c r="R2" s="50"/>
      <c r="S2" s="50"/>
      <c r="U2" s="35">
        <f>IFERROR(GETPIVOTDATA("Sum of Amount",PivotTables!$B$22,"Cash Flow","Expense"),0)</f>
        <v>396351</v>
      </c>
      <c r="V2" s="35">
        <f>IFERROR(GETPIVOTDATA("Sum of Amount",PivotTables!$B$22,"Cash Flow","Expense"),0)</f>
        <v>396351</v>
      </c>
    </row>
    <row r="3" spans="1:22">
      <c r="A3" s="50"/>
      <c r="B3" s="50"/>
      <c r="C3" s="50"/>
      <c r="D3" s="50"/>
      <c r="E3" s="50"/>
      <c r="F3" s="50"/>
      <c r="G3" s="50"/>
      <c r="H3" s="50"/>
      <c r="I3" s="50"/>
      <c r="J3" s="50"/>
      <c r="K3" s="50"/>
      <c r="L3" s="50"/>
      <c r="M3" s="50"/>
      <c r="N3" s="50"/>
      <c r="O3" s="50"/>
      <c r="P3" s="50"/>
      <c r="Q3" s="50"/>
      <c r="R3" s="50"/>
      <c r="S3" s="50"/>
      <c r="U3" s="35">
        <f>IFERROR(GETPIVOTDATA("Sum of Amount",PivotTables!$B$22,"Cash Flow","Income"),0)-IFERROR(GETPIVOTDATA("Sum of Amount",PivotTables!$B$22,"Cash Flow","Expense"),0)</f>
        <v>70349</v>
      </c>
      <c r="V3" s="35">
        <f>IFERROR(GETPIVOTDATA("Sum of Amount",PivotTables!$B$22,"Cash Flow","Income"),0)-IFERROR(GETPIVOTDATA("Sum of Amount",PivotTables!$B$22,"Cash Flow","Expense"),0)</f>
        <v>70349</v>
      </c>
    </row>
    <row r="4" spans="1:22">
      <c r="A4" s="50"/>
      <c r="B4" s="50"/>
      <c r="C4" s="50"/>
      <c r="D4" s="50"/>
      <c r="E4" s="50"/>
      <c r="F4" s="50"/>
      <c r="G4" s="50"/>
      <c r="H4" s="50"/>
      <c r="I4" s="50"/>
      <c r="J4" s="50"/>
      <c r="K4" s="50"/>
      <c r="L4" s="50"/>
      <c r="M4" s="50"/>
      <c r="N4" s="50"/>
      <c r="O4" s="50"/>
      <c r="P4" s="50"/>
      <c r="Q4" s="50"/>
      <c r="R4" s="50"/>
      <c r="S4" s="50"/>
    </row>
    <row r="5" spans="1:22">
      <c r="A5" s="50"/>
      <c r="B5" s="50"/>
      <c r="C5" s="50"/>
      <c r="D5" s="50"/>
      <c r="E5" s="50"/>
      <c r="F5" s="50"/>
      <c r="G5" s="50"/>
      <c r="H5" s="50"/>
      <c r="I5" s="50"/>
      <c r="J5" s="50"/>
      <c r="K5" s="50"/>
      <c r="L5" s="50"/>
      <c r="M5" s="50"/>
      <c r="N5" s="50"/>
      <c r="O5" s="50"/>
      <c r="P5" s="50"/>
      <c r="Q5" s="50"/>
      <c r="R5" s="50"/>
      <c r="S5" s="50"/>
      <c r="U5" s="48" t="str" cm="1">
        <f t="array" ref="U5">_xlfn.IFS( PivotTables!E103&gt;0,"Expenses are below budget, showing controlled essential spending.", PivotTables!E103&lt;0,"Expenses exceeded the budget and may require review.", PivotTables!E103=0,"Expenses matched the budget exactly." )</f>
        <v>Expenses are below budget, showing controlled essential spending.</v>
      </c>
    </row>
    <row r="6" spans="1:22">
      <c r="A6" s="50"/>
      <c r="B6" s="50"/>
      <c r="C6" s="50"/>
      <c r="D6" s="50"/>
      <c r="E6" s="50"/>
      <c r="F6" s="50"/>
      <c r="G6" s="50"/>
      <c r="H6" s="50"/>
      <c r="I6" s="50"/>
      <c r="J6" s="50"/>
      <c r="K6" s="50"/>
      <c r="L6" s="50"/>
      <c r="M6" s="50"/>
      <c r="N6" s="50"/>
      <c r="O6" s="50"/>
      <c r="P6" s="50"/>
      <c r="Q6" s="50"/>
      <c r="R6" s="50"/>
      <c r="S6" s="50"/>
      <c r="U6" s="48" t="str" cm="1">
        <f t="array" ref="U6">_xlfn.IFS( PivotTables!E102&gt;0,"The value is above the target, showing a positive result.", PivotTables!E102&lt;0,"The value is below the target, showing a negative result.", PivotTables!E102=0,"The value met the target exactly." )</f>
        <v>The value is above the target, showing a positive result.</v>
      </c>
    </row>
    <row r="7" spans="1:22">
      <c r="A7" s="50"/>
      <c r="B7" s="50"/>
      <c r="C7" s="50"/>
      <c r="D7" s="50"/>
      <c r="E7" s="50"/>
      <c r="F7" s="50"/>
      <c r="G7" s="50"/>
      <c r="H7" s="50"/>
      <c r="I7" s="50"/>
      <c r="J7" s="50"/>
      <c r="K7" s="50"/>
      <c r="L7" s="50"/>
      <c r="M7" s="50"/>
      <c r="N7" s="50"/>
      <c r="O7" s="50"/>
      <c r="P7" s="50"/>
      <c r="Q7" s="50"/>
      <c r="R7" s="50"/>
      <c r="S7" s="50"/>
      <c r="U7" s="48" t="str" cm="1">
        <f t="array" ref="U7">_xlfn.IFS( PivotTables!E104&gt;0,"You stayed within your budget, leaving more room for savings or essentials.", PivotTables!E104&lt;0,"You spent more than planned on wants like dining out, shopping, or entertainment Etc.", PivotTables!E104=0,"Your wants spending is exactly aligned with your budget." )</f>
        <v>You spent more than planned on wants like dining out, shopping, or entertainment Etc.</v>
      </c>
    </row>
    <row r="8" spans="1:22">
      <c r="A8" s="50"/>
      <c r="B8" s="50"/>
      <c r="C8" s="50"/>
      <c r="D8" s="50"/>
      <c r="E8" s="50"/>
      <c r="F8" s="50"/>
      <c r="G8" s="50"/>
      <c r="H8" s="50"/>
      <c r="I8" s="50"/>
      <c r="J8" s="50"/>
      <c r="K8" s="50"/>
      <c r="L8" s="50"/>
      <c r="M8" s="50"/>
      <c r="N8" s="50"/>
      <c r="O8" s="50"/>
      <c r="P8" s="50"/>
      <c r="Q8" s="50"/>
      <c r="R8" s="50"/>
      <c r="S8" s="50"/>
    </row>
    <row r="9" spans="1:22">
      <c r="A9" s="50"/>
      <c r="B9" s="50"/>
      <c r="C9" s="50"/>
      <c r="D9" s="50"/>
      <c r="E9" s="50"/>
      <c r="F9" s="50"/>
      <c r="G9" s="50"/>
      <c r="H9" s="50"/>
      <c r="I9" s="50"/>
      <c r="J9" s="50"/>
      <c r="K9" s="50"/>
      <c r="L9" s="50"/>
      <c r="M9" s="50"/>
      <c r="N9" s="50"/>
      <c r="O9" s="50"/>
      <c r="P9" s="50"/>
      <c r="Q9" s="50"/>
      <c r="R9" s="50"/>
      <c r="S9" s="50"/>
      <c r="U9" s="46" t="str">
        <f>PivotTables!F115</f>
        <v>Apr</v>
      </c>
    </row>
    <row r="10" spans="1:22">
      <c r="A10" s="50"/>
      <c r="B10" s="50"/>
      <c r="C10" s="50"/>
      <c r="D10" s="50"/>
      <c r="E10" s="50"/>
      <c r="F10" s="50"/>
      <c r="G10" s="50"/>
      <c r="H10" s="50"/>
      <c r="I10" s="50"/>
      <c r="J10" s="50"/>
      <c r="K10" s="50"/>
      <c r="L10" s="50"/>
      <c r="M10" s="50"/>
      <c r="N10" s="50"/>
      <c r="O10" s="50"/>
      <c r="P10" s="50"/>
      <c r="Q10" s="50"/>
      <c r="R10" s="50"/>
      <c r="S10" s="50"/>
      <c r="U10" s="35">
        <f>PivotTables!G115</f>
        <v>48480</v>
      </c>
    </row>
    <row r="11" spans="1:22">
      <c r="A11" s="50"/>
      <c r="B11" s="50"/>
      <c r="C11" s="50"/>
      <c r="D11" s="50"/>
      <c r="E11" s="50"/>
      <c r="F11" s="50"/>
      <c r="G11" s="50"/>
      <c r="H11" s="50"/>
      <c r="I11" s="50"/>
      <c r="J11" s="50"/>
      <c r="K11" s="50"/>
      <c r="L11" s="50"/>
      <c r="M11" s="50"/>
      <c r="N11" s="50"/>
      <c r="O11" s="50"/>
      <c r="P11" s="50"/>
      <c r="Q11" s="50"/>
      <c r="R11" s="50"/>
      <c r="S11" s="50"/>
      <c r="U11" t="str">
        <f>PivotTables!I115</f>
        <v/>
      </c>
    </row>
    <row r="12" spans="1:22">
      <c r="A12" s="50"/>
      <c r="B12" s="50"/>
      <c r="C12" s="50"/>
      <c r="D12" s="50"/>
      <c r="E12" s="50"/>
      <c r="F12" s="50"/>
      <c r="G12" s="50"/>
      <c r="H12" s="50"/>
      <c r="I12" s="50"/>
      <c r="J12" s="50"/>
      <c r="K12" s="50"/>
      <c r="L12" s="50"/>
      <c r="M12" s="50"/>
      <c r="N12" s="50"/>
      <c r="O12" s="50"/>
      <c r="P12" s="50"/>
      <c r="Q12" s="50"/>
      <c r="R12" s="50"/>
      <c r="S12" s="50"/>
    </row>
    <row r="13" spans="1:22">
      <c r="A13" s="50"/>
      <c r="B13" s="50"/>
      <c r="C13" s="50"/>
      <c r="D13" s="50"/>
      <c r="E13" s="50"/>
      <c r="F13" s="50"/>
      <c r="G13" s="50"/>
      <c r="H13" s="50"/>
      <c r="I13" s="50"/>
      <c r="J13" s="50"/>
      <c r="K13" s="50"/>
      <c r="L13" s="50"/>
      <c r="M13" s="50"/>
      <c r="N13" s="50"/>
      <c r="O13" s="50"/>
      <c r="P13" s="50"/>
      <c r="Q13" s="50"/>
      <c r="R13" s="50"/>
      <c r="S13" s="50"/>
      <c r="U13" s="47">
        <f>PivotTables!H40</f>
        <v>0.23464050803454514</v>
      </c>
    </row>
    <row r="14" spans="1:22">
      <c r="A14" s="50"/>
      <c r="B14" s="50"/>
      <c r="C14" s="50"/>
      <c r="D14" s="50"/>
      <c r="E14" s="50"/>
      <c r="F14" s="50"/>
      <c r="G14" s="50"/>
      <c r="H14" s="50"/>
      <c r="I14" s="50"/>
      <c r="J14" s="50"/>
      <c r="K14" s="50"/>
      <c r="L14" s="50"/>
      <c r="M14" s="50"/>
      <c r="N14" s="50"/>
      <c r="O14" s="50"/>
      <c r="P14" s="50"/>
      <c r="Q14" s="50"/>
      <c r="R14" s="50"/>
      <c r="S14" s="50"/>
      <c r="U14" s="44">
        <f>PivotTables!I40</f>
        <v>93000</v>
      </c>
    </row>
    <row r="15" spans="1:22">
      <c r="A15" s="50"/>
      <c r="B15" s="50"/>
      <c r="C15" s="50"/>
      <c r="D15" s="50"/>
      <c r="E15" s="50"/>
      <c r="F15" s="50"/>
      <c r="G15" s="50"/>
      <c r="H15" s="50"/>
      <c r="I15" s="50"/>
      <c r="J15" s="50"/>
      <c r="K15" s="50"/>
      <c r="L15" s="50"/>
      <c r="M15" s="50"/>
      <c r="N15" s="50"/>
      <c r="O15" s="50"/>
      <c r="P15" s="50"/>
      <c r="Q15" s="50"/>
      <c r="R15" s="50"/>
      <c r="S15" s="50"/>
      <c r="U15" s="49" t="str">
        <f>"of expenses spent on "&amp;PivotTables!G40</f>
        <v>of expenses spent on Rent / Mortgage</v>
      </c>
    </row>
    <row r="16" spans="1:22">
      <c r="A16" s="50"/>
      <c r="B16" s="50"/>
      <c r="C16" s="50"/>
      <c r="D16" s="50"/>
      <c r="E16" s="50"/>
      <c r="F16" s="50"/>
      <c r="G16" s="50"/>
      <c r="H16" s="50"/>
      <c r="I16" s="50"/>
      <c r="J16" s="50"/>
      <c r="K16" s="50"/>
      <c r="L16" s="50"/>
      <c r="M16" s="50"/>
      <c r="N16" s="50"/>
      <c r="O16" s="50"/>
      <c r="P16" s="50"/>
      <c r="Q16" s="50"/>
      <c r="R16" s="50"/>
      <c r="S16" s="50"/>
    </row>
    <row r="17" spans="1:22">
      <c r="A17" s="50"/>
      <c r="B17" s="50"/>
      <c r="C17" s="50"/>
      <c r="D17" s="50"/>
      <c r="E17" s="50"/>
      <c r="F17" s="50"/>
      <c r="G17" s="50"/>
      <c r="H17" s="50"/>
      <c r="I17" s="50"/>
      <c r="J17" s="50"/>
      <c r="K17" s="50"/>
      <c r="L17" s="50"/>
      <c r="M17" s="50"/>
      <c r="N17" s="50"/>
      <c r="O17" s="50"/>
      <c r="P17" s="50"/>
      <c r="Q17" s="50"/>
      <c r="R17" s="50"/>
      <c r="S17" s="50"/>
      <c r="V17" s="35">
        <f>PivotTables!H85</f>
        <v>17500</v>
      </c>
    </row>
    <row r="18" spans="1:22">
      <c r="A18" s="50"/>
      <c r="B18" s="50"/>
      <c r="C18" s="50"/>
      <c r="D18" s="50"/>
      <c r="E18" s="50"/>
      <c r="F18" s="50"/>
      <c r="G18" s="50"/>
      <c r="H18" s="50"/>
      <c r="I18" s="50"/>
      <c r="J18" s="50"/>
      <c r="K18" s="50"/>
      <c r="L18" s="50"/>
      <c r="M18" s="50"/>
      <c r="N18" s="50"/>
      <c r="O18" s="50"/>
      <c r="P18" s="50"/>
      <c r="Q18" s="50"/>
      <c r="R18" s="50"/>
      <c r="S18" s="50"/>
      <c r="U18" t="str">
        <f>PivotTables!G85</f>
        <v>May</v>
      </c>
      <c r="V18" s="35">
        <f>PivotTables!H86</f>
        <v>10000</v>
      </c>
    </row>
    <row r="19" spans="1:22">
      <c r="A19" s="50"/>
      <c r="B19" s="50"/>
      <c r="C19" s="50"/>
      <c r="D19" s="50"/>
      <c r="E19" s="50"/>
      <c r="F19" s="50"/>
      <c r="G19" s="50"/>
      <c r="H19" s="50"/>
      <c r="I19" s="50"/>
      <c r="J19" s="50"/>
      <c r="K19" s="50"/>
      <c r="L19" s="50"/>
      <c r="M19" s="50"/>
      <c r="N19" s="50"/>
      <c r="O19" s="50"/>
      <c r="P19" s="50"/>
      <c r="Q19" s="50"/>
      <c r="R19" s="50"/>
      <c r="S19" s="50"/>
      <c r="U19" t="str">
        <f>PivotTables!G86</f>
        <v>Jan</v>
      </c>
    </row>
    <row r="20" spans="1:22">
      <c r="A20" s="50"/>
      <c r="B20" s="50"/>
      <c r="C20" s="50"/>
      <c r="D20" s="50"/>
      <c r="E20" s="50"/>
      <c r="F20" s="50"/>
      <c r="G20" s="50"/>
      <c r="H20" s="50"/>
      <c r="I20" s="50"/>
      <c r="J20" s="50"/>
      <c r="K20" s="50"/>
      <c r="L20" s="50"/>
      <c r="M20" s="50"/>
      <c r="N20" s="50"/>
      <c r="O20" s="50"/>
      <c r="P20" s="50"/>
      <c r="Q20" s="50"/>
      <c r="R20" s="50"/>
      <c r="S20" s="50"/>
      <c r="V20" s="35">
        <f>PivotTables!H69</f>
        <v>12250</v>
      </c>
    </row>
    <row r="21" spans="1:22">
      <c r="A21" s="50"/>
      <c r="B21" s="50"/>
      <c r="C21" s="50"/>
      <c r="D21" s="50"/>
      <c r="E21" s="50"/>
      <c r="F21" s="50"/>
      <c r="G21" s="50"/>
      <c r="H21" s="50"/>
      <c r="I21" s="50"/>
      <c r="J21" s="50"/>
      <c r="K21" s="50"/>
      <c r="L21" s="50"/>
      <c r="M21" s="50"/>
      <c r="N21" s="50"/>
      <c r="O21" s="50"/>
      <c r="P21" s="50"/>
      <c r="Q21" s="50"/>
      <c r="R21" s="50"/>
      <c r="S21" s="50"/>
      <c r="U21" t="str">
        <f>PivotTables!G69</f>
        <v>Jul</v>
      </c>
      <c r="V21" s="35">
        <f>PivotTables!H70</f>
        <v>2392.5789473684213</v>
      </c>
    </row>
    <row r="22" spans="1:22">
      <c r="A22" s="50"/>
      <c r="B22" s="50"/>
      <c r="C22" s="50"/>
      <c r="D22" s="50"/>
      <c r="E22" s="50"/>
      <c r="F22" s="50"/>
      <c r="G22" s="50"/>
      <c r="H22" s="50"/>
      <c r="I22" s="50"/>
      <c r="J22" s="50"/>
      <c r="K22" s="50"/>
      <c r="L22" s="50"/>
      <c r="M22" s="50"/>
      <c r="N22" s="50"/>
      <c r="O22" s="50"/>
      <c r="P22" s="50"/>
      <c r="Q22" s="50"/>
      <c r="R22" s="50"/>
      <c r="S22" s="50"/>
      <c r="U22" t="str">
        <f>PivotTables!G70</f>
        <v>Dec</v>
      </c>
    </row>
    <row r="23" spans="1:22">
      <c r="A23" s="50"/>
      <c r="B23" s="50"/>
      <c r="C23" s="50"/>
      <c r="D23" s="50"/>
      <c r="E23" s="50"/>
      <c r="F23" s="50"/>
      <c r="G23" s="50"/>
      <c r="H23" s="50"/>
      <c r="I23" s="50"/>
      <c r="J23" s="50"/>
      <c r="K23" s="50"/>
      <c r="L23" s="50"/>
      <c r="M23" s="50"/>
      <c r="N23" s="50"/>
      <c r="O23" s="50"/>
      <c r="P23" s="50"/>
      <c r="Q23" s="50"/>
      <c r="R23" s="50"/>
      <c r="S23" s="50"/>
      <c r="V23" s="35">
        <f>PivotTables!H55</f>
        <v>7000</v>
      </c>
    </row>
    <row r="24" spans="1:22">
      <c r="A24" s="50"/>
      <c r="B24" s="50"/>
      <c r="C24" s="50"/>
      <c r="D24" s="50"/>
      <c r="E24" s="50"/>
      <c r="F24" s="50"/>
      <c r="G24" s="50"/>
      <c r="H24" s="50"/>
      <c r="I24" s="50"/>
      <c r="J24" s="50"/>
      <c r="K24" s="50"/>
      <c r="L24" s="50"/>
      <c r="M24" s="50"/>
      <c r="N24" s="50"/>
      <c r="O24" s="50"/>
      <c r="P24" s="50"/>
      <c r="Q24" s="50"/>
      <c r="R24" s="50"/>
      <c r="S24" s="50"/>
      <c r="U24" t="str">
        <f>PivotTables!G55</f>
        <v>Jan</v>
      </c>
      <c r="V24" s="35">
        <f>PivotTables!H56</f>
        <v>250</v>
      </c>
    </row>
    <row r="25" spans="1:22">
      <c r="A25" s="50"/>
      <c r="B25" s="50"/>
      <c r="C25" s="50"/>
      <c r="D25" s="50"/>
      <c r="E25" s="50"/>
      <c r="F25" s="50"/>
      <c r="G25" s="50"/>
      <c r="H25" s="50"/>
      <c r="I25" s="50"/>
      <c r="J25" s="50"/>
      <c r="K25" s="50"/>
      <c r="L25" s="50"/>
      <c r="M25" s="50"/>
      <c r="N25" s="50"/>
      <c r="O25" s="50"/>
      <c r="P25" s="50"/>
      <c r="Q25" s="50"/>
      <c r="R25" s="50"/>
      <c r="S25" s="50"/>
      <c r="U25" t="str">
        <f>PivotTables!G56</f>
        <v>Apr</v>
      </c>
    </row>
    <row r="26" spans="1:22">
      <c r="A26" s="50"/>
      <c r="B26" s="50"/>
      <c r="C26" s="50"/>
      <c r="D26" s="50"/>
      <c r="E26" s="50"/>
      <c r="F26" s="50"/>
      <c r="G26" s="50"/>
      <c r="H26" s="50"/>
      <c r="I26" s="50"/>
      <c r="J26" s="50"/>
      <c r="K26" s="50"/>
      <c r="L26" s="50"/>
      <c r="M26" s="50"/>
      <c r="N26" s="50"/>
      <c r="O26" s="50"/>
      <c r="P26" s="50"/>
      <c r="Q26" s="50"/>
      <c r="R26" s="50"/>
      <c r="S26" s="50"/>
    </row>
    <row r="27" spans="1:22">
      <c r="A27" s="50"/>
      <c r="B27" s="50"/>
      <c r="C27" s="50"/>
      <c r="D27" s="50"/>
      <c r="E27" s="50"/>
      <c r="F27" s="50"/>
      <c r="G27" s="50"/>
      <c r="H27" s="50"/>
      <c r="I27" s="50"/>
      <c r="J27" s="50"/>
      <c r="K27" s="50"/>
      <c r="L27" s="50"/>
      <c r="M27" s="50"/>
      <c r="N27" s="50"/>
      <c r="O27" s="50"/>
      <c r="P27" s="50"/>
      <c r="Q27" s="50"/>
      <c r="R27" s="50"/>
      <c r="S27" s="50"/>
    </row>
    <row r="28" spans="1:22">
      <c r="A28" s="50"/>
      <c r="B28" s="50"/>
      <c r="C28" s="50"/>
      <c r="D28" s="50"/>
      <c r="E28" s="50"/>
      <c r="F28" s="50"/>
      <c r="G28" s="50"/>
      <c r="H28" s="50"/>
      <c r="I28" s="50"/>
      <c r="J28" s="50"/>
      <c r="K28" s="50"/>
      <c r="L28" s="50"/>
      <c r="M28" s="50"/>
      <c r="N28" s="50"/>
      <c r="O28" s="50"/>
      <c r="P28" s="50"/>
      <c r="Q28" s="50"/>
      <c r="R28" s="50"/>
      <c r="S28" s="50"/>
    </row>
    <row r="29" spans="1:22">
      <c r="A29" s="50"/>
      <c r="B29" s="50"/>
      <c r="C29" s="50"/>
      <c r="D29" s="50"/>
      <c r="E29" s="50"/>
      <c r="F29" s="50"/>
      <c r="G29" s="50"/>
      <c r="H29" s="50"/>
      <c r="I29" s="50"/>
      <c r="J29" s="50"/>
      <c r="K29" s="50"/>
      <c r="L29" s="50"/>
      <c r="M29" s="50"/>
      <c r="N29" s="50"/>
      <c r="O29" s="50"/>
      <c r="P29" s="50"/>
      <c r="Q29" s="50"/>
      <c r="R29" s="50"/>
      <c r="S29" s="50"/>
    </row>
    <row r="30" spans="1:22">
      <c r="A30" s="50"/>
      <c r="B30" s="50"/>
      <c r="C30" s="50"/>
      <c r="D30" s="50"/>
      <c r="E30" s="50"/>
      <c r="F30" s="50"/>
      <c r="G30" s="50"/>
      <c r="H30" s="50"/>
      <c r="I30" s="50"/>
      <c r="J30" s="50"/>
      <c r="K30" s="50"/>
      <c r="L30" s="50"/>
      <c r="M30" s="50"/>
      <c r="N30" s="50"/>
      <c r="O30" s="50"/>
      <c r="P30" s="50"/>
      <c r="Q30" s="50"/>
      <c r="R30" s="50"/>
      <c r="S30" s="50"/>
    </row>
    <row r="31" spans="1:22">
      <c r="A31" s="50"/>
      <c r="B31" s="50"/>
      <c r="C31" s="50"/>
      <c r="D31" s="50"/>
      <c r="E31" s="50"/>
      <c r="F31" s="50"/>
      <c r="G31" s="50"/>
      <c r="H31" s="50"/>
      <c r="I31" s="50"/>
      <c r="J31" s="50"/>
      <c r="K31" s="50"/>
      <c r="L31" s="50"/>
      <c r="M31" s="50"/>
      <c r="N31" s="50"/>
      <c r="O31" s="50"/>
      <c r="P31" s="50"/>
      <c r="Q31" s="50"/>
      <c r="R31" s="50"/>
      <c r="S31" s="50"/>
    </row>
    <row r="32" spans="1:22">
      <c r="A32" s="50"/>
      <c r="B32" s="50"/>
      <c r="C32" s="50"/>
      <c r="D32" s="50"/>
      <c r="E32" s="50"/>
      <c r="F32" s="50"/>
      <c r="G32" s="50"/>
      <c r="H32" s="50"/>
      <c r="I32" s="50"/>
      <c r="J32" s="50"/>
      <c r="K32" s="50"/>
      <c r="L32" s="50"/>
      <c r="M32" s="50"/>
      <c r="N32" s="50"/>
      <c r="O32" s="50"/>
      <c r="P32" s="50"/>
      <c r="Q32" s="50"/>
      <c r="R32" s="50"/>
      <c r="S32" s="50"/>
    </row>
    <row r="33" spans="1:19">
      <c r="A33" s="50"/>
      <c r="B33" s="50"/>
      <c r="C33" s="50"/>
      <c r="D33" s="50"/>
      <c r="E33" s="50"/>
      <c r="F33" s="50"/>
      <c r="G33" s="50"/>
      <c r="H33" s="50"/>
      <c r="I33" s="50"/>
      <c r="J33" s="50"/>
      <c r="K33" s="50"/>
      <c r="L33" s="50"/>
      <c r="M33" s="50"/>
      <c r="N33" s="50"/>
      <c r="O33" s="50"/>
      <c r="P33" s="50"/>
      <c r="Q33" s="50"/>
      <c r="R33" s="50"/>
      <c r="S33" s="50"/>
    </row>
  </sheetData>
  <mergeCells count="1">
    <mergeCell ref="A1:S33"/>
  </mergeCells>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52D8C-408A-463D-93CE-371FD46A72D6}">
  <sheetPr codeName="Sheet2"/>
  <dimension ref="B3:J140"/>
  <sheetViews>
    <sheetView topLeftCell="A112" zoomScale="115" zoomScaleNormal="115" workbookViewId="0">
      <selection activeCell="B115" sqref="B115"/>
    </sheetView>
  </sheetViews>
  <sheetFormatPr defaultRowHeight="15.75"/>
  <cols>
    <col min="2" max="2" width="16.875" bestFit="1" customWidth="1"/>
    <col min="3" max="3" width="13.5" bestFit="1" customWidth="1"/>
    <col min="4" max="4" width="12.25" bestFit="1" customWidth="1"/>
    <col min="5" max="5" width="16.875" bestFit="1" customWidth="1"/>
    <col min="6" max="7" width="13.5" bestFit="1" customWidth="1"/>
    <col min="8" max="8" width="7.25" bestFit="1" customWidth="1"/>
    <col min="9" max="9" width="11.375" customWidth="1"/>
    <col min="10" max="10" width="14.875" bestFit="1" customWidth="1"/>
    <col min="11" max="11" width="13.5" bestFit="1" customWidth="1"/>
    <col min="12" max="12" width="6.375" bestFit="1" customWidth="1"/>
    <col min="13" max="13" width="10.125" bestFit="1" customWidth="1"/>
    <col min="14" max="14" width="13.25" bestFit="1" customWidth="1"/>
    <col min="15" max="15" width="7.625" bestFit="1" customWidth="1"/>
    <col min="16" max="16" width="9.125" bestFit="1" customWidth="1"/>
    <col min="17" max="17" width="15.25" bestFit="1" customWidth="1"/>
    <col min="18" max="18" width="18.125" bestFit="1" customWidth="1"/>
    <col min="19" max="19" width="15.75" bestFit="1" customWidth="1"/>
    <col min="20" max="20" width="18.625" bestFit="1" customWidth="1"/>
    <col min="21" max="21" width="15.375" bestFit="1" customWidth="1"/>
    <col min="22" max="22" width="18.25" bestFit="1" customWidth="1"/>
    <col min="23" max="23" width="8.125" bestFit="1" customWidth="1"/>
    <col min="24" max="24" width="10.875" bestFit="1" customWidth="1"/>
    <col min="25" max="25" width="8.875" bestFit="1" customWidth="1"/>
    <col min="26" max="26" width="11.625" bestFit="1" customWidth="1"/>
    <col min="27" max="27" width="10.125" bestFit="1" customWidth="1"/>
  </cols>
  <sheetData>
    <row r="3" spans="2:8">
      <c r="B3" s="33" t="s">
        <v>137</v>
      </c>
      <c r="C3" s="33" t="s">
        <v>3</v>
      </c>
      <c r="G3" t="str">
        <f>IFERROR(VLOOKUP(C1,$B$5:$C$14,2,FALSE()),"")</f>
        <v/>
      </c>
    </row>
    <row r="4" spans="2:8">
      <c r="B4" s="33" t="s">
        <v>77</v>
      </c>
      <c r="C4" t="s">
        <v>3</v>
      </c>
      <c r="D4" t="s">
        <v>7</v>
      </c>
      <c r="E4" t="s">
        <v>78</v>
      </c>
    </row>
    <row r="5" spans="2:8">
      <c r="B5" s="34" t="s">
        <v>63</v>
      </c>
      <c r="C5" s="35">
        <v>48480</v>
      </c>
      <c r="D5" s="35">
        <v>49200</v>
      </c>
      <c r="E5" s="35">
        <v>97680</v>
      </c>
      <c r="H5" s="35"/>
    </row>
    <row r="6" spans="2:8">
      <c r="B6" s="34" t="s">
        <v>64</v>
      </c>
      <c r="C6" s="35">
        <v>50226</v>
      </c>
      <c r="D6" s="35">
        <v>50000</v>
      </c>
      <c r="E6" s="35">
        <v>100226</v>
      </c>
    </row>
    <row r="7" spans="2:8">
      <c r="B7" s="34" t="s">
        <v>65</v>
      </c>
      <c r="C7" s="35">
        <v>44191</v>
      </c>
      <c r="D7" s="35">
        <v>50000</v>
      </c>
      <c r="E7" s="35">
        <v>94191</v>
      </c>
    </row>
    <row r="8" spans="2:8">
      <c r="B8" s="34" t="s">
        <v>66</v>
      </c>
      <c r="C8" s="35">
        <v>40959</v>
      </c>
      <c r="D8" s="35">
        <v>49000</v>
      </c>
      <c r="E8" s="35">
        <v>89959</v>
      </c>
      <c r="G8" s="35"/>
    </row>
    <row r="9" spans="2:8">
      <c r="B9" s="34" t="s">
        <v>67</v>
      </c>
      <c r="C9" s="35">
        <v>40459</v>
      </c>
      <c r="D9" s="35">
        <v>49000</v>
      </c>
      <c r="E9" s="35">
        <v>89459</v>
      </c>
    </row>
    <row r="10" spans="2:8">
      <c r="B10" s="34" t="s">
        <v>68</v>
      </c>
      <c r="C10" s="35">
        <v>37459</v>
      </c>
      <c r="D10" s="35">
        <v>49000</v>
      </c>
      <c r="E10" s="35">
        <v>86459</v>
      </c>
    </row>
    <row r="11" spans="2:8">
      <c r="B11" s="34" t="s">
        <v>69</v>
      </c>
      <c r="C11" s="35">
        <v>37659</v>
      </c>
      <c r="D11" s="35">
        <v>49000</v>
      </c>
      <c r="E11" s="35">
        <v>86659</v>
      </c>
    </row>
    <row r="12" spans="2:8">
      <c r="B12" s="34" t="s">
        <v>70</v>
      </c>
      <c r="C12" s="35">
        <v>41459</v>
      </c>
      <c r="D12" s="35">
        <v>49000</v>
      </c>
      <c r="E12" s="35">
        <v>90459</v>
      </c>
    </row>
    <row r="13" spans="2:8">
      <c r="B13" s="34" t="s">
        <v>62</v>
      </c>
      <c r="C13" s="35">
        <v>45459</v>
      </c>
      <c r="D13" s="35">
        <v>49000</v>
      </c>
      <c r="E13" s="35">
        <v>94459</v>
      </c>
    </row>
    <row r="14" spans="2:8">
      <c r="B14" s="34" t="s">
        <v>85</v>
      </c>
      <c r="C14" s="35">
        <v>10000</v>
      </c>
      <c r="D14" s="35">
        <v>23500</v>
      </c>
      <c r="E14" s="35">
        <v>33500</v>
      </c>
    </row>
    <row r="15" spans="2:8">
      <c r="B15" s="34" t="s">
        <v>78</v>
      </c>
      <c r="C15" s="35">
        <v>396351</v>
      </c>
      <c r="D15" s="35">
        <v>466700</v>
      </c>
      <c r="E15" s="35">
        <v>863051</v>
      </c>
    </row>
    <row r="16" spans="2:8">
      <c r="B16" s="39" t="s">
        <v>83</v>
      </c>
      <c r="C16" s="40">
        <f>(SUM(D15-C15)/D15)</f>
        <v>0.15073709020784229</v>
      </c>
      <c r="D16" s="40">
        <f>1-C16</f>
        <v>0.84926290979215768</v>
      </c>
    </row>
    <row r="17" spans="2:6">
      <c r="C17" s="14"/>
      <c r="D17" s="35"/>
    </row>
    <row r="20" spans="2:6">
      <c r="B20" s="33" t="s">
        <v>1</v>
      </c>
      <c r="C20" t="s">
        <v>106</v>
      </c>
    </row>
    <row r="22" spans="2:6">
      <c r="B22" s="33" t="s">
        <v>138</v>
      </c>
      <c r="C22" t="s">
        <v>79</v>
      </c>
    </row>
    <row r="23" spans="2:6">
      <c r="B23" s="34" t="s">
        <v>3</v>
      </c>
      <c r="C23" s="35">
        <v>396351</v>
      </c>
      <c r="D23" s="35">
        <f>GETPIVOTDATA("Sum of Amount",$B$22,"Cash Flow","Expense")</f>
        <v>396351</v>
      </c>
    </row>
    <row r="24" spans="2:6">
      <c r="B24" s="34" t="s">
        <v>7</v>
      </c>
      <c r="C24" s="35">
        <v>466700</v>
      </c>
      <c r="D24" s="35">
        <f>GETPIVOTDATA("Sum of Amount",$B$22,"Cash Flow","Income")</f>
        <v>466700</v>
      </c>
    </row>
    <row r="25" spans="2:6">
      <c r="B25" s="34" t="s">
        <v>78</v>
      </c>
      <c r="C25" s="35">
        <v>863051</v>
      </c>
    </row>
    <row r="26" spans="2:6">
      <c r="B26" s="39" t="s">
        <v>83</v>
      </c>
      <c r="C26" s="35">
        <f>C24-C23</f>
        <v>70349</v>
      </c>
      <c r="D26" s="37">
        <f>C26/C24</f>
        <v>0.15073709020784229</v>
      </c>
      <c r="E26" s="37">
        <f>1-D26</f>
        <v>0.84926290979215768</v>
      </c>
    </row>
    <row r="27" spans="2:6">
      <c r="B27" s="14" t="s">
        <v>84</v>
      </c>
      <c r="C27" s="38">
        <f>C23/C24</f>
        <v>0.84926290979215768</v>
      </c>
      <c r="D27" s="37">
        <f>IFERROR(C23/C24, "")</f>
        <v>0.84926290979215768</v>
      </c>
    </row>
    <row r="28" spans="2:6">
      <c r="C28" s="38">
        <f>1-C27</f>
        <v>0.15073709020784232</v>
      </c>
    </row>
    <row r="31" spans="2:6">
      <c r="B31" s="33" t="s">
        <v>139</v>
      </c>
      <c r="C31" t="s">
        <v>93</v>
      </c>
      <c r="D31" t="s">
        <v>79</v>
      </c>
    </row>
    <row r="32" spans="2:6">
      <c r="B32" s="34" t="s">
        <v>92</v>
      </c>
      <c r="C32" s="37">
        <v>0.38139534883720932</v>
      </c>
      <c r="D32" s="35">
        <v>261681</v>
      </c>
      <c r="E32" s="37">
        <f>C32</f>
        <v>0.38139534883720932</v>
      </c>
      <c r="F32" s="37">
        <f>1-E32</f>
        <v>0.61860465116279073</v>
      </c>
    </row>
    <row r="33" spans="2:9">
      <c r="B33" s="34" t="s">
        <v>88</v>
      </c>
      <c r="C33" s="37">
        <v>0.40930232558139534</v>
      </c>
      <c r="D33" s="35">
        <v>109500</v>
      </c>
      <c r="E33" s="37">
        <f>C33</f>
        <v>0.40930232558139534</v>
      </c>
      <c r="F33" s="37">
        <f>1-C33</f>
        <v>0.59069767441860466</v>
      </c>
    </row>
    <row r="34" spans="2:9">
      <c r="B34" s="34" t="s">
        <v>90</v>
      </c>
      <c r="C34" s="37">
        <v>0.17674418604651163</v>
      </c>
      <c r="D34" s="35">
        <v>466700</v>
      </c>
      <c r="E34" s="37"/>
      <c r="F34" s="37"/>
    </row>
    <row r="35" spans="2:9">
      <c r="B35" s="34" t="s">
        <v>89</v>
      </c>
      <c r="C35" s="37">
        <v>3.255813953488372E-2</v>
      </c>
      <c r="D35" s="35">
        <v>25170</v>
      </c>
      <c r="E35" s="37">
        <f>C35</f>
        <v>3.255813953488372E-2</v>
      </c>
      <c r="F35" s="37">
        <f>1-E35</f>
        <v>0.96744186046511627</v>
      </c>
    </row>
    <row r="36" spans="2:9">
      <c r="B36" s="34" t="s">
        <v>78</v>
      </c>
      <c r="C36" s="37">
        <v>1</v>
      </c>
      <c r="D36" s="35">
        <v>863051</v>
      </c>
    </row>
    <row r="40" spans="2:9">
      <c r="B40" s="33" t="s">
        <v>140</v>
      </c>
      <c r="C40" t="s">
        <v>79</v>
      </c>
      <c r="D40" s="43"/>
      <c r="E40" s="33" t="s">
        <v>140</v>
      </c>
      <c r="F40" t="s">
        <v>79</v>
      </c>
      <c r="G40" t="str">
        <f>E41</f>
        <v>Rent / Mortgage</v>
      </c>
      <c r="H40">
        <f>F41/C23</f>
        <v>0.23464050803454514</v>
      </c>
      <c r="I40" s="44">
        <f>F41</f>
        <v>93000</v>
      </c>
    </row>
    <row r="41" spans="2:9">
      <c r="B41" s="34" t="s">
        <v>57</v>
      </c>
      <c r="C41" s="35">
        <v>6000</v>
      </c>
      <c r="E41" s="34" t="s">
        <v>9</v>
      </c>
      <c r="F41" s="35">
        <v>93000</v>
      </c>
    </row>
    <row r="42" spans="2:9">
      <c r="B42" s="34" t="s">
        <v>52</v>
      </c>
      <c r="C42" s="35">
        <v>7500</v>
      </c>
      <c r="E42" s="34" t="s">
        <v>5</v>
      </c>
      <c r="F42" s="35">
        <v>81500</v>
      </c>
      <c r="H42" s="43"/>
      <c r="I42" s="35"/>
    </row>
    <row r="43" spans="2:9">
      <c r="B43" s="34" t="s">
        <v>14</v>
      </c>
      <c r="C43" s="35">
        <v>10000</v>
      </c>
      <c r="E43" s="34" t="s">
        <v>13</v>
      </c>
      <c r="F43" s="35">
        <v>74550</v>
      </c>
      <c r="H43" s="43"/>
      <c r="I43" s="35"/>
    </row>
    <row r="44" spans="2:9">
      <c r="B44" s="34" t="s">
        <v>15</v>
      </c>
      <c r="C44" s="35">
        <v>10500</v>
      </c>
      <c r="E44" s="34" t="s">
        <v>31</v>
      </c>
      <c r="F44" s="35">
        <v>59168</v>
      </c>
      <c r="H44" s="43"/>
      <c r="I44" s="35"/>
    </row>
    <row r="45" spans="2:9">
      <c r="B45" s="34" t="s">
        <v>21</v>
      </c>
      <c r="C45" s="35">
        <v>25170</v>
      </c>
      <c r="E45" s="34" t="s">
        <v>4</v>
      </c>
      <c r="F45" s="35">
        <v>28963</v>
      </c>
      <c r="H45" s="43"/>
      <c r="I45" s="35"/>
    </row>
    <row r="46" spans="2:9">
      <c r="B46" s="34" t="s">
        <v>4</v>
      </c>
      <c r="C46" s="35">
        <v>28963</v>
      </c>
      <c r="E46" s="34" t="s">
        <v>21</v>
      </c>
      <c r="F46" s="35">
        <v>25170</v>
      </c>
      <c r="H46" s="43"/>
      <c r="I46" s="35"/>
    </row>
    <row r="47" spans="2:9">
      <c r="B47" s="34" t="s">
        <v>31</v>
      </c>
      <c r="C47" s="35">
        <v>59168</v>
      </c>
      <c r="E47" s="34" t="s">
        <v>15</v>
      </c>
      <c r="F47" s="35">
        <v>10500</v>
      </c>
      <c r="H47" s="43"/>
      <c r="I47" s="35"/>
    </row>
    <row r="48" spans="2:9">
      <c r="B48" s="34" t="s">
        <v>13</v>
      </c>
      <c r="C48" s="35">
        <v>74550</v>
      </c>
      <c r="E48" s="34" t="s">
        <v>14</v>
      </c>
      <c r="F48" s="35">
        <v>10000</v>
      </c>
      <c r="H48" s="43"/>
      <c r="I48" s="35"/>
    </row>
    <row r="49" spans="2:9">
      <c r="B49" s="34" t="s">
        <v>5</v>
      </c>
      <c r="C49" s="35">
        <v>81500</v>
      </c>
      <c r="E49" s="34" t="s">
        <v>52</v>
      </c>
      <c r="F49" s="35">
        <v>7500</v>
      </c>
      <c r="H49" s="43"/>
      <c r="I49" s="35"/>
    </row>
    <row r="50" spans="2:9">
      <c r="B50" s="34" t="s">
        <v>9</v>
      </c>
      <c r="C50" s="35">
        <v>93000</v>
      </c>
      <c r="E50" s="34" t="s">
        <v>57</v>
      </c>
      <c r="F50" s="35">
        <v>6000</v>
      </c>
      <c r="H50" s="43"/>
      <c r="I50" s="35"/>
    </row>
    <row r="51" spans="2:9">
      <c r="B51" s="34" t="s">
        <v>78</v>
      </c>
      <c r="C51" s="35">
        <v>396351</v>
      </c>
      <c r="E51" s="34" t="s">
        <v>78</v>
      </c>
      <c r="F51" s="35">
        <v>396351</v>
      </c>
    </row>
    <row r="55" spans="2:9">
      <c r="B55" s="33" t="s">
        <v>141</v>
      </c>
      <c r="C55" s="33" t="s">
        <v>80</v>
      </c>
      <c r="F55" s="14" t="s">
        <v>96</v>
      </c>
      <c r="G55" t="str">
        <f>VLOOKUP(MIN(D57:D66),CHOOSE({1,2},D57:D66,B57:B66),2,FALSE)</f>
        <v>Jan</v>
      </c>
      <c r="H55" s="35">
        <f>VLOOKUP(MIN(D57:D66),CHOOSE({1,2},D57:D66,B57:B66),1,FALSE)</f>
        <v>7000</v>
      </c>
    </row>
    <row r="56" spans="2:9">
      <c r="B56" s="33" t="s">
        <v>77</v>
      </c>
      <c r="C56" t="s">
        <v>3</v>
      </c>
      <c r="D56" t="s">
        <v>7</v>
      </c>
      <c r="E56" t="s">
        <v>78</v>
      </c>
      <c r="F56" t="s">
        <v>97</v>
      </c>
      <c r="G56" t="str">
        <f>VLOOKUP(MIN(C57:C66),CHOOSE({1,2},C57:C66,B57:B66),2,FALSE)</f>
        <v>Apr</v>
      </c>
      <c r="H56" s="35">
        <f>VLOOKUP(MIN(C57:C66),CHOOSE({1,2},C57:C66,B57:B66),1,FALSE)</f>
        <v>250</v>
      </c>
    </row>
    <row r="57" spans="2:9">
      <c r="B57" s="34" t="s">
        <v>85</v>
      </c>
      <c r="C57" s="35">
        <v>10000</v>
      </c>
      <c r="D57" s="35">
        <v>7000</v>
      </c>
      <c r="E57" s="35">
        <v>7000</v>
      </c>
    </row>
    <row r="58" spans="2:9">
      <c r="B58" s="34" t="s">
        <v>63</v>
      </c>
      <c r="C58" s="35">
        <v>250</v>
      </c>
      <c r="D58" s="35">
        <v>7700</v>
      </c>
      <c r="E58" s="35">
        <v>250</v>
      </c>
    </row>
    <row r="59" spans="2:9">
      <c r="B59" s="34" t="s">
        <v>64</v>
      </c>
      <c r="C59" s="35">
        <v>250</v>
      </c>
      <c r="D59" s="35">
        <v>8000</v>
      </c>
      <c r="E59" s="35">
        <v>250</v>
      </c>
    </row>
    <row r="60" spans="2:9">
      <c r="B60" s="34" t="s">
        <v>65</v>
      </c>
      <c r="C60" s="35">
        <v>500</v>
      </c>
      <c r="D60" s="35">
        <v>8000</v>
      </c>
      <c r="E60" s="35">
        <v>500</v>
      </c>
    </row>
    <row r="61" spans="2:9">
      <c r="B61" s="34" t="s">
        <v>66</v>
      </c>
      <c r="C61" s="35">
        <v>500</v>
      </c>
      <c r="D61" s="35">
        <v>8000</v>
      </c>
      <c r="E61" s="35">
        <v>500</v>
      </c>
    </row>
    <row r="62" spans="2:9">
      <c r="B62" s="34" t="s">
        <v>67</v>
      </c>
      <c r="C62" s="35">
        <v>500</v>
      </c>
      <c r="D62" s="35">
        <v>8000</v>
      </c>
      <c r="E62" s="35">
        <v>500</v>
      </c>
    </row>
    <row r="63" spans="2:9">
      <c r="B63" s="34" t="s">
        <v>68</v>
      </c>
      <c r="C63" s="35">
        <v>500</v>
      </c>
      <c r="D63" s="35">
        <v>8000</v>
      </c>
      <c r="E63" s="35">
        <v>500</v>
      </c>
    </row>
    <row r="64" spans="2:9">
      <c r="B64" s="34" t="s">
        <v>69</v>
      </c>
      <c r="C64" s="35">
        <v>500</v>
      </c>
      <c r="D64" s="35">
        <v>8000</v>
      </c>
      <c r="E64" s="35">
        <v>500</v>
      </c>
    </row>
    <row r="65" spans="2:8">
      <c r="B65" s="34" t="s">
        <v>70</v>
      </c>
      <c r="C65" s="35">
        <v>500</v>
      </c>
      <c r="D65" s="35">
        <v>8000</v>
      </c>
      <c r="E65" s="35">
        <v>500</v>
      </c>
    </row>
    <row r="66" spans="2:8">
      <c r="B66" s="34" t="s">
        <v>62</v>
      </c>
      <c r="C66" s="35">
        <v>500</v>
      </c>
      <c r="D66" s="35">
        <v>8000</v>
      </c>
      <c r="E66" s="35">
        <v>500</v>
      </c>
    </row>
    <row r="67" spans="2:8">
      <c r="B67" s="34" t="s">
        <v>78</v>
      </c>
      <c r="C67" s="35">
        <v>250</v>
      </c>
      <c r="D67" s="35">
        <v>7000</v>
      </c>
      <c r="E67" s="35">
        <v>250</v>
      </c>
    </row>
    <row r="69" spans="2:8">
      <c r="B69" s="33" t="s">
        <v>142</v>
      </c>
      <c r="C69" s="33" t="s">
        <v>80</v>
      </c>
      <c r="F69" s="14" t="s">
        <v>98</v>
      </c>
      <c r="G69" t="str" cm="1">
        <f t="array" ref="G69">INDEX(B71:B80,MATCH(MIN(ABS(D71:D80-AVERAGE(D71:D80))),ABS(D71:D80-AVERAGE(D71:D80)),0))</f>
        <v>Jul</v>
      </c>
      <c r="H69" s="35" cm="1">
        <f t="array" ref="H69">INDEX(D71:D80,MATCH(MIN(ABS(D71:D80-AVERAGE(D71:D80))),ABS(D71:D80-AVERAGE(D71:D80)),0))</f>
        <v>12250</v>
      </c>
    </row>
    <row r="70" spans="2:8">
      <c r="B70" s="33" t="s">
        <v>77</v>
      </c>
      <c r="C70" t="s">
        <v>3</v>
      </c>
      <c r="D70" t="s">
        <v>7</v>
      </c>
      <c r="E70" t="s">
        <v>78</v>
      </c>
      <c r="F70" s="14" t="s">
        <v>99</v>
      </c>
      <c r="G70" t="str" cm="1">
        <f t="array" ref="G70">INDEX(B71:B80,MATCH(MIN(ABS(C71:C80-AVERAGE(C71:C80))),ABS(C71:C80-AVERAGE(C71:C80)),0))</f>
        <v>Dec</v>
      </c>
      <c r="H70" s="35" cm="1">
        <f t="array" ref="H70">INDEX(C71:C80,MATCH(MIN(ABS(C71:C80-AVERAGE(C71:C80))),ABS(C71:C80-AVERAGE(C71:C80)),0))</f>
        <v>2392.5789473684213</v>
      </c>
    </row>
    <row r="71" spans="2:8">
      <c r="B71" s="34" t="s">
        <v>85</v>
      </c>
      <c r="C71" s="35">
        <v>10000</v>
      </c>
      <c r="D71" s="35">
        <v>11750</v>
      </c>
      <c r="E71" s="35">
        <v>11166.666666666666</v>
      </c>
    </row>
    <row r="72" spans="2:8">
      <c r="B72" s="34" t="s">
        <v>63</v>
      </c>
      <c r="C72" s="35">
        <v>2020</v>
      </c>
      <c r="D72" s="35">
        <v>12300</v>
      </c>
      <c r="E72" s="35">
        <v>3488.5714285714284</v>
      </c>
    </row>
    <row r="73" spans="2:8">
      <c r="B73" s="34" t="s">
        <v>64</v>
      </c>
      <c r="C73" s="35">
        <v>2283</v>
      </c>
      <c r="D73" s="35">
        <v>12500</v>
      </c>
      <c r="E73" s="35">
        <v>3854.8461538461538</v>
      </c>
    </row>
    <row r="74" spans="2:8">
      <c r="B74" s="34" t="s">
        <v>65</v>
      </c>
      <c r="C74" s="35">
        <v>2104.3333333333335</v>
      </c>
      <c r="D74" s="35">
        <v>12500</v>
      </c>
      <c r="E74" s="35">
        <v>3767.64</v>
      </c>
    </row>
    <row r="75" spans="2:8">
      <c r="B75" s="34" t="s">
        <v>66</v>
      </c>
      <c r="C75" s="35">
        <v>2047.95</v>
      </c>
      <c r="D75" s="35">
        <v>12250</v>
      </c>
      <c r="E75" s="35">
        <v>3748.2916666666665</v>
      </c>
    </row>
    <row r="76" spans="2:8">
      <c r="B76" s="34" t="s">
        <v>67</v>
      </c>
      <c r="C76" s="35">
        <v>2247.7222222222222</v>
      </c>
      <c r="D76" s="35">
        <v>12250</v>
      </c>
      <c r="E76" s="35">
        <v>4066.318181818182</v>
      </c>
    </row>
    <row r="77" spans="2:8">
      <c r="B77" s="34" t="s">
        <v>68</v>
      </c>
      <c r="C77" s="35">
        <v>2203.4705882352941</v>
      </c>
      <c r="D77" s="35">
        <v>12250</v>
      </c>
      <c r="E77" s="35">
        <v>4117.0952380952385</v>
      </c>
    </row>
    <row r="78" spans="2:8">
      <c r="B78" s="34" t="s">
        <v>69</v>
      </c>
      <c r="C78" s="35">
        <v>2215.2352941176468</v>
      </c>
      <c r="D78" s="35">
        <v>12250</v>
      </c>
      <c r="E78" s="35">
        <v>4126.6190476190477</v>
      </c>
    </row>
    <row r="79" spans="2:8">
      <c r="B79" s="34" t="s">
        <v>70</v>
      </c>
      <c r="C79" s="35">
        <v>2303.2777777777778</v>
      </c>
      <c r="D79" s="35">
        <v>12250</v>
      </c>
      <c r="E79" s="35">
        <v>4111.772727272727</v>
      </c>
    </row>
    <row r="80" spans="2:8">
      <c r="B80" s="34" t="s">
        <v>62</v>
      </c>
      <c r="C80" s="35">
        <v>2392.5789473684213</v>
      </c>
      <c r="D80" s="35">
        <v>12250</v>
      </c>
      <c r="E80" s="35">
        <v>4106.913043478261</v>
      </c>
    </row>
    <row r="81" spans="2:8">
      <c r="B81" s="34" t="s">
        <v>78</v>
      </c>
      <c r="C81" s="35">
        <v>2239.2711864406779</v>
      </c>
      <c r="D81" s="35">
        <v>12281.578947368422</v>
      </c>
      <c r="E81" s="35">
        <v>4014.1906976744185</v>
      </c>
    </row>
    <row r="84" spans="2:8">
      <c r="B84" s="33" t="s">
        <v>143</v>
      </c>
      <c r="C84" s="33" t="s">
        <v>80</v>
      </c>
    </row>
    <row r="85" spans="2:8">
      <c r="B85" s="33" t="s">
        <v>77</v>
      </c>
      <c r="C85" t="s">
        <v>3</v>
      </c>
      <c r="D85" t="s">
        <v>7</v>
      </c>
      <c r="E85" t="s">
        <v>78</v>
      </c>
      <c r="F85" s="14" t="s">
        <v>94</v>
      </c>
      <c r="G85" t="str">
        <f>INDEX(B86:B95,MATCH(MAX(D86:D95),D86:D95,0))</f>
        <v>May</v>
      </c>
      <c r="H85" s="35">
        <f>MAX(D86:D95)</f>
        <v>17500</v>
      </c>
    </row>
    <row r="86" spans="2:8">
      <c r="B86" s="34" t="s">
        <v>85</v>
      </c>
      <c r="C86" s="35">
        <v>10000</v>
      </c>
      <c r="D86" s="35">
        <v>16500</v>
      </c>
      <c r="E86" s="35">
        <v>16500</v>
      </c>
      <c r="F86" s="14" t="s">
        <v>95</v>
      </c>
      <c r="G86" t="str">
        <f>INDEX(B86:B95,MATCH(MAX(C86:C95),C86:C95,0))</f>
        <v>Jan</v>
      </c>
      <c r="H86" s="35">
        <f>MAX(C86:C95)</f>
        <v>10000</v>
      </c>
    </row>
    <row r="87" spans="2:8">
      <c r="B87" s="34" t="s">
        <v>63</v>
      </c>
      <c r="C87" s="35">
        <v>8500</v>
      </c>
      <c r="D87" s="35">
        <v>17000</v>
      </c>
      <c r="E87" s="35">
        <v>17000</v>
      </c>
      <c r="G87" s="14"/>
    </row>
    <row r="88" spans="2:8">
      <c r="B88" s="34" t="s">
        <v>64</v>
      </c>
      <c r="C88" s="35">
        <v>9000</v>
      </c>
      <c r="D88" s="35">
        <v>17500</v>
      </c>
      <c r="E88" s="35">
        <v>17500</v>
      </c>
    </row>
    <row r="89" spans="2:8">
      <c r="B89" s="34" t="s">
        <v>65</v>
      </c>
      <c r="C89" s="35">
        <v>9000</v>
      </c>
      <c r="D89" s="35">
        <v>17500</v>
      </c>
      <c r="E89" s="35">
        <v>17500</v>
      </c>
    </row>
    <row r="90" spans="2:8">
      <c r="B90" s="34" t="s">
        <v>66</v>
      </c>
      <c r="C90" s="35">
        <v>9000</v>
      </c>
      <c r="D90" s="35">
        <v>16500</v>
      </c>
      <c r="E90" s="35">
        <v>16500</v>
      </c>
    </row>
    <row r="91" spans="2:8">
      <c r="B91" s="34" t="s">
        <v>67</v>
      </c>
      <c r="C91" s="35">
        <v>9000</v>
      </c>
      <c r="D91" s="35">
        <v>16500</v>
      </c>
      <c r="E91" s="35">
        <v>16500</v>
      </c>
    </row>
    <row r="92" spans="2:8">
      <c r="B92" s="34" t="s">
        <v>68</v>
      </c>
      <c r="C92" s="35">
        <v>10000</v>
      </c>
      <c r="D92" s="35">
        <v>16500</v>
      </c>
      <c r="E92" s="35">
        <v>16500</v>
      </c>
    </row>
    <row r="93" spans="2:8">
      <c r="B93" s="34" t="s">
        <v>69</v>
      </c>
      <c r="C93" s="35">
        <v>10000</v>
      </c>
      <c r="D93" s="35">
        <v>16500</v>
      </c>
      <c r="E93" s="35">
        <v>16500</v>
      </c>
    </row>
    <row r="94" spans="2:8">
      <c r="B94" s="34" t="s">
        <v>70</v>
      </c>
      <c r="C94" s="35">
        <v>10000</v>
      </c>
      <c r="D94" s="35">
        <v>16500</v>
      </c>
      <c r="E94" s="35">
        <v>16500</v>
      </c>
    </row>
    <row r="95" spans="2:8">
      <c r="B95" s="34" t="s">
        <v>62</v>
      </c>
      <c r="C95" s="35">
        <v>10000</v>
      </c>
      <c r="D95" s="35">
        <v>16500</v>
      </c>
      <c r="E95" s="35">
        <v>16500</v>
      </c>
    </row>
    <row r="96" spans="2:8">
      <c r="B96" s="34" t="s">
        <v>78</v>
      </c>
      <c r="C96" s="35">
        <v>10000</v>
      </c>
      <c r="D96" s="35">
        <v>17500</v>
      </c>
      <c r="E96" s="35">
        <v>17500</v>
      </c>
    </row>
    <row r="101" spans="2:5">
      <c r="B101" s="33" t="s">
        <v>77</v>
      </c>
      <c r="C101" t="s">
        <v>79</v>
      </c>
      <c r="D101" t="s">
        <v>101</v>
      </c>
      <c r="E101" t="s">
        <v>102</v>
      </c>
    </row>
    <row r="102" spans="2:5">
      <c r="B102" s="34" t="s">
        <v>92</v>
      </c>
      <c r="C102" s="41">
        <v>261681</v>
      </c>
      <c r="D102" s="41">
        <v>260331</v>
      </c>
      <c r="E102" s="41">
        <f>C102-D102</f>
        <v>1350</v>
      </c>
    </row>
    <row r="103" spans="2:5">
      <c r="B103" s="34" t="s">
        <v>88</v>
      </c>
      <c r="C103" s="41">
        <v>109500</v>
      </c>
      <c r="D103" s="41">
        <v>109289</v>
      </c>
      <c r="E103" s="41">
        <f t="shared" ref="E103:E104" si="0">C103-D103</f>
        <v>211</v>
      </c>
    </row>
    <row r="104" spans="2:5">
      <c r="B104" s="34" t="s">
        <v>89</v>
      </c>
      <c r="C104" s="41">
        <v>25170</v>
      </c>
      <c r="D104" s="41">
        <v>26670</v>
      </c>
      <c r="E104" s="41">
        <f t="shared" si="0"/>
        <v>-1500</v>
      </c>
    </row>
    <row r="105" spans="2:5">
      <c r="B105" s="34" t="s">
        <v>78</v>
      </c>
      <c r="C105" s="41">
        <v>396351</v>
      </c>
      <c r="D105" s="51">
        <v>396290</v>
      </c>
      <c r="E105" s="35"/>
    </row>
    <row r="107" spans="2:5">
      <c r="B107" s="34" t="s">
        <v>103</v>
      </c>
    </row>
    <row r="108" spans="2:5">
      <c r="B108" s="34" t="s">
        <v>88</v>
      </c>
      <c r="C108" t="str" cm="1">
        <f t="array" ref="C108">_xlfn.IFS( E103&gt;0,"Expenses are below budget, showing controlled essential spending.", E103&lt;0,"Expenses exceeded the budget and may require review.", E103=0,"Expenses matched the budget exactly." )</f>
        <v>Expenses are below budget, showing controlled essential spending.</v>
      </c>
    </row>
    <row r="109" spans="2:5">
      <c r="B109" s="34" t="s">
        <v>104</v>
      </c>
      <c r="C109" t="str" cm="1">
        <f t="array" ref="C109">_xlfn.IFS( E102&gt;0,"The value is above the target, showing a positive result.", E102&lt;0,"The value is below the target, showing a negative result.", E102=0,"The value met the target exactly." )</f>
        <v>The value is above the target, showing a positive result.</v>
      </c>
    </row>
    <row r="110" spans="2:5">
      <c r="B110" s="34" t="s">
        <v>89</v>
      </c>
      <c r="C110" t="str" cm="1">
        <f t="array" ref="C110">_xlfn.IFS( E104&gt;0,"You stayed within your budget, leaving more room for savings or essentials.", E104&lt;0,"You spent more than planned on wants like dining out, shopping, or entertainment Etc.", E104=0,"Your wants spending is exactly aligned with your budget." )</f>
        <v>You spent more than planned on wants like dining out, shopping, or entertainment Etc.</v>
      </c>
    </row>
    <row r="114" spans="2:10">
      <c r="F114" t="str">
        <f>F115 &amp; " Total Expenses"</f>
        <v>Apr Total Expenses</v>
      </c>
    </row>
    <row r="115" spans="2:10">
      <c r="B115" s="33" t="s">
        <v>79</v>
      </c>
      <c r="C115" s="33" t="s">
        <v>80</v>
      </c>
      <c r="F115" t="str">
        <f>B130</f>
        <v>Apr</v>
      </c>
      <c r="G115" s="35">
        <f>IFERROR(VLOOKUP(F115,B117:C126,2,FALSE()),"")</f>
        <v>48480</v>
      </c>
      <c r="H115" s="35">
        <f>IF(F115="Apr",0,IF(F115="May",VLOOKUP("Apr",B117:C126,2,0),IF(F115="Jun",VLOOKUP("May",B117:C126,2,0),IF(F115="Jul",VLOOKUP("Jun",B117:C126,2,0),IF(F115="Aug",VLOOKUP("Jul",B117:C126,2,0),IF(F115="Sep",VLOOKUP("Aug",B117:C126,2,0),IF(F115="Oct",VLOOKUP("Sep",B117:C126,2,0),IF(F115="Nov",VLOOKUP("Oct",B117:C126,2,0),IF(F115="Dec",VLOOKUP("Nov",B117:C126,2,0),IF(F115="Jan",VLOOKUP("Dec",B117:C126,2,0),0))))))))))</f>
        <v>0</v>
      </c>
      <c r="I115" t="str">
        <f>IF(H115=0,"",TEXT((G115-H115)/H115,"0.0%") &amp; " (" &amp; INT(G115-H115) &amp; ")")</f>
        <v/>
      </c>
      <c r="J115" s="42"/>
    </row>
    <row r="116" spans="2:10">
      <c r="B116" s="33" t="s">
        <v>77</v>
      </c>
      <c r="C116" t="s">
        <v>3</v>
      </c>
      <c r="D116" t="s">
        <v>7</v>
      </c>
      <c r="E116" t="s">
        <v>78</v>
      </c>
    </row>
    <row r="117" spans="2:10">
      <c r="B117" s="34" t="s">
        <v>85</v>
      </c>
      <c r="C117" s="35">
        <v>10000</v>
      </c>
      <c r="D117" s="35">
        <v>23500</v>
      </c>
      <c r="E117" s="35">
        <v>33500</v>
      </c>
    </row>
    <row r="118" spans="2:10">
      <c r="B118" s="34" t="s">
        <v>63</v>
      </c>
      <c r="C118" s="35">
        <v>48480</v>
      </c>
      <c r="D118" s="35">
        <v>49200</v>
      </c>
      <c r="E118" s="35">
        <v>97680</v>
      </c>
    </row>
    <row r="119" spans="2:10">
      <c r="B119" s="34" t="s">
        <v>64</v>
      </c>
      <c r="C119" s="35">
        <v>50226</v>
      </c>
      <c r="D119" s="35">
        <v>50000</v>
      </c>
      <c r="E119" s="35">
        <v>100226</v>
      </c>
    </row>
    <row r="120" spans="2:10">
      <c r="B120" s="34" t="s">
        <v>65</v>
      </c>
      <c r="C120" s="35">
        <v>44191</v>
      </c>
      <c r="D120" s="35">
        <v>50000</v>
      </c>
      <c r="E120" s="35">
        <v>94191</v>
      </c>
    </row>
    <row r="121" spans="2:10">
      <c r="B121" s="34" t="s">
        <v>66</v>
      </c>
      <c r="C121" s="35">
        <v>40959</v>
      </c>
      <c r="D121" s="35">
        <v>49000</v>
      </c>
      <c r="E121" s="35">
        <v>89959</v>
      </c>
    </row>
    <row r="122" spans="2:10">
      <c r="B122" s="34" t="s">
        <v>67</v>
      </c>
      <c r="C122" s="35">
        <v>40459</v>
      </c>
      <c r="D122" s="35">
        <v>49000</v>
      </c>
      <c r="E122" s="35">
        <v>89459</v>
      </c>
    </row>
    <row r="123" spans="2:10">
      <c r="B123" s="34" t="s">
        <v>68</v>
      </c>
      <c r="C123" s="35">
        <v>37459</v>
      </c>
      <c r="D123" s="35">
        <v>49000</v>
      </c>
      <c r="E123" s="35">
        <v>86459</v>
      </c>
    </row>
    <row r="124" spans="2:10">
      <c r="B124" s="34" t="s">
        <v>69</v>
      </c>
      <c r="C124" s="35">
        <v>37659</v>
      </c>
      <c r="D124" s="35">
        <v>49000</v>
      </c>
      <c r="E124" s="35">
        <v>86659</v>
      </c>
    </row>
    <row r="125" spans="2:10">
      <c r="B125" s="34" t="s">
        <v>70</v>
      </c>
      <c r="C125" s="35">
        <v>41459</v>
      </c>
      <c r="D125" s="35">
        <v>49000</v>
      </c>
      <c r="E125" s="35">
        <v>90459</v>
      </c>
    </row>
    <row r="126" spans="2:10">
      <c r="B126" s="34" t="s">
        <v>62</v>
      </c>
      <c r="C126" s="35">
        <v>45459</v>
      </c>
      <c r="D126" s="35">
        <v>49000</v>
      </c>
      <c r="E126" s="35">
        <v>94459</v>
      </c>
    </row>
    <row r="127" spans="2:10">
      <c r="B127" s="34" t="s">
        <v>78</v>
      </c>
      <c r="C127" s="35">
        <v>396351</v>
      </c>
      <c r="D127" s="35">
        <v>466700</v>
      </c>
      <c r="E127" s="35">
        <v>863051</v>
      </c>
    </row>
    <row r="129" spans="2:2">
      <c r="B129" s="33" t="s">
        <v>77</v>
      </c>
    </row>
    <row r="130" spans="2:2">
      <c r="B130" s="34" t="s">
        <v>63</v>
      </c>
    </row>
    <row r="131" spans="2:2">
      <c r="B131" s="34" t="s">
        <v>64</v>
      </c>
    </row>
    <row r="132" spans="2:2">
      <c r="B132" s="34" t="s">
        <v>65</v>
      </c>
    </row>
    <row r="133" spans="2:2">
      <c r="B133" s="34" t="s">
        <v>66</v>
      </c>
    </row>
    <row r="134" spans="2:2">
      <c r="B134" s="34" t="s">
        <v>67</v>
      </c>
    </row>
    <row r="135" spans="2:2">
      <c r="B135" s="34" t="s">
        <v>68</v>
      </c>
    </row>
    <row r="136" spans="2:2">
      <c r="B136" s="34" t="s">
        <v>69</v>
      </c>
    </row>
    <row r="137" spans="2:2">
      <c r="B137" s="34" t="s">
        <v>70</v>
      </c>
    </row>
    <row r="138" spans="2:2">
      <c r="B138" s="34" t="s">
        <v>62</v>
      </c>
    </row>
    <row r="139" spans="2:2">
      <c r="B139" s="34" t="s">
        <v>85</v>
      </c>
    </row>
    <row r="140" spans="2:2">
      <c r="B140" s="34" t="s">
        <v>78</v>
      </c>
    </row>
  </sheetData>
  <dataConsolidate/>
  <pageMargins left="0.7" right="0.7" top="0.75" bottom="0.75" header="0.3" footer="0.3"/>
  <pageSetup orientation="portrait" horizontalDpi="300" verticalDpi="300"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0CEC-9B17-DA43-970B-E58018612A7A}">
  <sheetPr codeName="Sheet3"/>
  <dimension ref="B2:T354"/>
  <sheetViews>
    <sheetView topLeftCell="B1" zoomScaleNormal="100" workbookViewId="0">
      <selection activeCell="K3" sqref="K3:M27"/>
    </sheetView>
  </sheetViews>
  <sheetFormatPr defaultColWidth="11.125" defaultRowHeight="15.75"/>
  <cols>
    <col min="1" max="1" width="4.375" customWidth="1"/>
    <col min="2" max="2" width="15" bestFit="1" customWidth="1"/>
    <col min="3" max="3" width="15" style="2" bestFit="1" customWidth="1"/>
    <col min="4" max="4" width="10.375" style="2" customWidth="1"/>
    <col min="5" max="5" width="14.875" bestFit="1" customWidth="1"/>
    <col min="6" max="6" width="10.125" style="2" bestFit="1" customWidth="1"/>
    <col min="7" max="7" width="10.125" style="2" customWidth="1"/>
    <col min="8" max="8" width="15" style="2" bestFit="1" customWidth="1"/>
    <col min="9" max="9" width="25" bestFit="1" customWidth="1"/>
    <col min="10" max="10" width="4" bestFit="1" customWidth="1"/>
    <col min="11" max="11" width="16.625" bestFit="1" customWidth="1"/>
    <col min="12" max="12" width="11.625" style="2" bestFit="1" customWidth="1"/>
    <col min="13" max="13" width="16.125" style="2" bestFit="1" customWidth="1"/>
    <col min="14" max="14" width="10.125" style="2" bestFit="1" customWidth="1"/>
    <col min="15" max="16" width="9.375" bestFit="1" customWidth="1"/>
    <col min="17" max="17" width="7.375" bestFit="1" customWidth="1"/>
    <col min="18" max="19" width="9.375" bestFit="1" customWidth="1"/>
    <col min="20" max="20" width="8.25" bestFit="1" customWidth="1"/>
    <col min="21" max="22" width="9.375" bestFit="1" customWidth="1"/>
    <col min="23" max="23" width="8.375" bestFit="1" customWidth="1"/>
    <col min="24" max="25" width="10.375" bestFit="1" customWidth="1"/>
    <col min="26" max="26" width="8.25" bestFit="1" customWidth="1"/>
    <col min="27" max="28" width="10.375" bestFit="1" customWidth="1"/>
    <col min="29" max="29" width="8.375" bestFit="1" customWidth="1"/>
    <col min="30" max="32" width="10.375" bestFit="1" customWidth="1"/>
    <col min="33" max="33" width="8.5" bestFit="1" customWidth="1"/>
    <col min="34" max="34" width="10.125" bestFit="1" customWidth="1"/>
    <col min="35" max="35" width="6.375" bestFit="1" customWidth="1"/>
    <col min="36" max="36" width="11.375" bestFit="1" customWidth="1"/>
    <col min="37" max="37" width="10.125" bestFit="1" customWidth="1"/>
  </cols>
  <sheetData>
    <row r="2" spans="2:20" s="1" customFormat="1" ht="50.25" customHeight="1">
      <c r="B2" s="4" t="s">
        <v>0</v>
      </c>
      <c r="C2" s="5" t="s">
        <v>1</v>
      </c>
      <c r="D2" s="6" t="s">
        <v>82</v>
      </c>
      <c r="E2" s="5" t="s">
        <v>81</v>
      </c>
      <c r="F2" s="5" t="s">
        <v>2</v>
      </c>
      <c r="G2" s="5" t="s">
        <v>100</v>
      </c>
      <c r="H2" s="5" t="s">
        <v>86</v>
      </c>
      <c r="I2" s="13" t="s">
        <v>24</v>
      </c>
      <c r="K2" s="4" t="s">
        <v>22</v>
      </c>
      <c r="L2" s="7" t="s">
        <v>82</v>
      </c>
      <c r="M2" s="7" t="s">
        <v>87</v>
      </c>
      <c r="N2" s="2"/>
      <c r="Q2" s="15"/>
      <c r="R2" s="15"/>
    </row>
    <row r="3" spans="2:20">
      <c r="B3" s="9">
        <v>46127</v>
      </c>
      <c r="C3" s="10" t="str">
        <f t="shared" ref="C3:C49" si="0">TEXT(B3,"mmm")</f>
        <v>Apr</v>
      </c>
      <c r="D3" s="12" t="str">
        <f>_xlfn.XLOOKUP(Table1[[#This Row],[Category]],Table2[Type],Table2[Cash Flow])</f>
        <v>Income</v>
      </c>
      <c r="E3" s="12" t="s">
        <v>25</v>
      </c>
      <c r="F3" s="11">
        <v>16500</v>
      </c>
      <c r="G3" s="11">
        <v>17500</v>
      </c>
      <c r="H3" s="11" t="str">
        <f>_xlfn.XLOOKUP(Table1[[#This Row],[Category]],Table2[Type],Table2[Sub Type])</f>
        <v>Salary</v>
      </c>
      <c r="I3" s="12" t="s">
        <v>23</v>
      </c>
      <c r="K3" t="s">
        <v>25</v>
      </c>
      <c r="L3" s="2" t="s">
        <v>7</v>
      </c>
      <c r="M3" s="2" t="s">
        <v>90</v>
      </c>
      <c r="P3" s="14"/>
      <c r="Q3" s="24"/>
      <c r="R3" s="14"/>
      <c r="S3" s="14"/>
      <c r="T3" s="14"/>
    </row>
    <row r="4" spans="2:20">
      <c r="B4" s="9">
        <v>46127</v>
      </c>
      <c r="C4" s="10" t="str">
        <f t="shared" si="0"/>
        <v>Apr</v>
      </c>
      <c r="D4" s="12" t="str">
        <f>_xlfn.XLOOKUP(Table1[[#This Row],[Category]],Table2[Type],Table2[Cash Flow])</f>
        <v>Income</v>
      </c>
      <c r="E4" s="12" t="s">
        <v>26</v>
      </c>
      <c r="F4" s="11">
        <v>8000</v>
      </c>
      <c r="G4" s="11">
        <v>8000</v>
      </c>
      <c r="H4" s="11" t="str">
        <f>_xlfn.XLOOKUP(Table1[[#This Row],[Category]],Table2[Type],Table2[Sub Type])</f>
        <v>Salary</v>
      </c>
      <c r="I4" s="12" t="s">
        <v>23</v>
      </c>
      <c r="K4" t="s">
        <v>26</v>
      </c>
      <c r="L4" s="2" t="s">
        <v>7</v>
      </c>
      <c r="M4" s="2" t="s">
        <v>90</v>
      </c>
    </row>
    <row r="5" spans="2:20">
      <c r="B5" s="16">
        <v>46128</v>
      </c>
      <c r="C5" s="17" t="str">
        <f t="shared" si="0"/>
        <v>Apr</v>
      </c>
      <c r="D5" s="19" t="str">
        <f>_xlfn.XLOOKUP(Table1[[#This Row],[Category]],Table2[Type],Table2[Cash Flow])</f>
        <v>Expense</v>
      </c>
      <c r="E5" s="19" t="s">
        <v>13</v>
      </c>
      <c r="F5" s="18">
        <v>1500</v>
      </c>
      <c r="G5" s="18">
        <v>1500</v>
      </c>
      <c r="H5" s="18" t="str">
        <f>_xlfn.XLOOKUP(Table1[[#This Row],[Category]],Table2[Type],Table2[Sub Type])</f>
        <v>Financial Priority</v>
      </c>
      <c r="I5" s="19" t="s">
        <v>29</v>
      </c>
      <c r="K5" t="s">
        <v>8</v>
      </c>
      <c r="L5" s="2" t="s">
        <v>7</v>
      </c>
      <c r="M5" s="2" t="s">
        <v>91</v>
      </c>
    </row>
    <row r="6" spans="2:20">
      <c r="B6" s="16">
        <v>46128</v>
      </c>
      <c r="C6" s="17" t="str">
        <f t="shared" si="0"/>
        <v>Apr</v>
      </c>
      <c r="D6" s="19" t="str">
        <f>_xlfn.XLOOKUP(Table1[[#This Row],[Category]],Table2[Type],Table2[Cash Flow])</f>
        <v>Expense</v>
      </c>
      <c r="E6" s="19" t="s">
        <v>9</v>
      </c>
      <c r="F6" s="18">
        <v>7000</v>
      </c>
      <c r="G6" s="18">
        <v>7000</v>
      </c>
      <c r="H6" s="18" t="str">
        <f>_xlfn.XLOOKUP(Table1[[#This Row],[Category]],Table2[Type],Table2[Sub Type])</f>
        <v>Financial Priority</v>
      </c>
      <c r="I6" s="19" t="s">
        <v>46</v>
      </c>
      <c r="K6" t="s">
        <v>20</v>
      </c>
      <c r="L6" s="2" t="s">
        <v>7</v>
      </c>
      <c r="M6" s="2" t="s">
        <v>91</v>
      </c>
    </row>
    <row r="7" spans="2:20">
      <c r="B7" s="16">
        <v>46128</v>
      </c>
      <c r="C7" s="17" t="str">
        <f t="shared" si="0"/>
        <v>Apr</v>
      </c>
      <c r="D7" s="19" t="str">
        <f>_xlfn.XLOOKUP(Table1[[#This Row],[Category]],Table2[Type],Table2[Cash Flow])</f>
        <v>Expense</v>
      </c>
      <c r="E7" s="19" t="s">
        <v>4</v>
      </c>
      <c r="F7" s="18">
        <v>300</v>
      </c>
      <c r="G7" s="18">
        <v>300</v>
      </c>
      <c r="H7" s="18" t="str">
        <f>_xlfn.XLOOKUP(Table1[[#This Row],[Category]],Table2[Type],Table2[Sub Type])</f>
        <v>Financial Priority</v>
      </c>
      <c r="I7" s="19" t="s">
        <v>27</v>
      </c>
      <c r="K7" t="s">
        <v>9</v>
      </c>
      <c r="L7" s="2" t="s">
        <v>3</v>
      </c>
      <c r="M7" s="2" t="s">
        <v>92</v>
      </c>
    </row>
    <row r="8" spans="2:20">
      <c r="B8" s="16">
        <v>46128</v>
      </c>
      <c r="C8" s="17" t="str">
        <f t="shared" si="0"/>
        <v>Apr</v>
      </c>
      <c r="D8" s="19" t="str">
        <f>_xlfn.XLOOKUP(Table1[[#This Row],[Category]],Table2[Type],Table2[Cash Flow])</f>
        <v>Expense</v>
      </c>
      <c r="E8" s="19" t="s">
        <v>5</v>
      </c>
      <c r="F8" s="18">
        <v>1000</v>
      </c>
      <c r="G8" s="18">
        <v>1000</v>
      </c>
      <c r="H8" s="18" t="str">
        <f>_xlfn.XLOOKUP(Table1[[#This Row],[Category]],Table2[Type],Table2[Sub Type])</f>
        <v>Needs</v>
      </c>
      <c r="I8" s="19" t="s">
        <v>28</v>
      </c>
      <c r="K8" t="s">
        <v>4</v>
      </c>
      <c r="L8" s="2" t="s">
        <v>3</v>
      </c>
      <c r="M8" s="2" t="s">
        <v>92</v>
      </c>
    </row>
    <row r="9" spans="2:20">
      <c r="B9" s="16">
        <v>46128</v>
      </c>
      <c r="C9" s="17" t="str">
        <f t="shared" si="0"/>
        <v>Apr</v>
      </c>
      <c r="D9" s="19" t="str">
        <f>_xlfn.XLOOKUP(Table1[[#This Row],[Category]],Table2[Type],Table2[Cash Flow])</f>
        <v>Expense</v>
      </c>
      <c r="E9" s="19" t="s">
        <v>4</v>
      </c>
      <c r="F9" s="18">
        <v>500</v>
      </c>
      <c r="G9" s="18">
        <v>500</v>
      </c>
      <c r="H9" s="18" t="str">
        <f>_xlfn.XLOOKUP(Table1[[#This Row],[Category]],Table2[Type],Table2[Sub Type])</f>
        <v>Financial Priority</v>
      </c>
      <c r="I9" s="19" t="s">
        <v>30</v>
      </c>
      <c r="K9" t="s">
        <v>10</v>
      </c>
      <c r="L9" s="2" t="s">
        <v>3</v>
      </c>
      <c r="M9" s="2" t="s">
        <v>92</v>
      </c>
    </row>
    <row r="10" spans="2:20">
      <c r="B10" s="16">
        <v>46128</v>
      </c>
      <c r="C10" s="17" t="str">
        <f t="shared" si="0"/>
        <v>Apr</v>
      </c>
      <c r="D10" s="19" t="str">
        <f>_xlfn.XLOOKUP(Table1[[#This Row],[Category]],Table2[Type],Table2[Cash Flow])</f>
        <v>Expense</v>
      </c>
      <c r="E10" s="19" t="s">
        <v>31</v>
      </c>
      <c r="F10" s="18">
        <v>1060</v>
      </c>
      <c r="G10" s="18">
        <v>1060</v>
      </c>
      <c r="H10" s="18" t="str">
        <f>_xlfn.XLOOKUP(Table1[[#This Row],[Category]],Table2[Type],Table2[Sub Type])</f>
        <v>Financial Priority</v>
      </c>
      <c r="I10" s="19" t="s">
        <v>32</v>
      </c>
      <c r="K10" t="s">
        <v>16</v>
      </c>
      <c r="L10" s="2" t="s">
        <v>3</v>
      </c>
      <c r="M10" s="2" t="s">
        <v>88</v>
      </c>
    </row>
    <row r="11" spans="2:20">
      <c r="B11" s="16">
        <v>46128</v>
      </c>
      <c r="C11" s="17" t="str">
        <f t="shared" si="0"/>
        <v>Apr</v>
      </c>
      <c r="D11" s="19" t="str">
        <f>_xlfn.XLOOKUP(Table1[[#This Row],[Category]],Table2[Type],Table2[Cash Flow])</f>
        <v>Expense</v>
      </c>
      <c r="E11" s="19" t="s">
        <v>5</v>
      </c>
      <c r="F11" s="18">
        <v>2500</v>
      </c>
      <c r="G11" s="18">
        <v>2500</v>
      </c>
      <c r="H11" s="18" t="str">
        <f>_xlfn.XLOOKUP(Table1[[#This Row],[Category]],Table2[Type],Table2[Sub Type])</f>
        <v>Needs</v>
      </c>
      <c r="I11" s="19" t="s">
        <v>33</v>
      </c>
      <c r="K11" t="s">
        <v>13</v>
      </c>
      <c r="L11" s="2" t="s">
        <v>3</v>
      </c>
      <c r="M11" s="2" t="s">
        <v>92</v>
      </c>
    </row>
    <row r="12" spans="2:20">
      <c r="B12" s="16">
        <v>46128</v>
      </c>
      <c r="C12" s="17" t="str">
        <f t="shared" si="0"/>
        <v>Apr</v>
      </c>
      <c r="D12" s="19" t="str">
        <f>_xlfn.XLOOKUP(Table1[[#This Row],[Category]],Table2[Type],Table2[Cash Flow])</f>
        <v>Expense</v>
      </c>
      <c r="E12" s="19" t="s">
        <v>15</v>
      </c>
      <c r="F12" s="18">
        <v>2000</v>
      </c>
      <c r="G12" s="18">
        <v>2000</v>
      </c>
      <c r="H12" s="18" t="str">
        <f>_xlfn.XLOOKUP(Table1[[#This Row],[Category]],Table2[Type],Table2[Sub Type])</f>
        <v>Needs</v>
      </c>
      <c r="I12" s="19" t="s">
        <v>41</v>
      </c>
      <c r="K12" t="s">
        <v>14</v>
      </c>
      <c r="L12" s="2" t="s">
        <v>3</v>
      </c>
      <c r="M12" s="2" t="s">
        <v>88</v>
      </c>
    </row>
    <row r="13" spans="2:20">
      <c r="B13" s="16">
        <v>46128</v>
      </c>
      <c r="C13" s="17" t="str">
        <f>TEXT(B13,"mmm")</f>
        <v>Apr</v>
      </c>
      <c r="D13" s="19" t="str">
        <f>_xlfn.XLOOKUP(Table1[[#This Row],[Category]],Table2[Type],Table2[Cash Flow])</f>
        <v>Expense</v>
      </c>
      <c r="E13" s="19" t="s">
        <v>21</v>
      </c>
      <c r="F13" s="18">
        <v>2670</v>
      </c>
      <c r="G13" s="18">
        <v>2670</v>
      </c>
      <c r="H13" s="18" t="str">
        <f>_xlfn.XLOOKUP(Table1[[#This Row],[Category]],Table2[Type],Table2[Sub Type])</f>
        <v>Wants</v>
      </c>
      <c r="I13" s="19" t="s">
        <v>44</v>
      </c>
      <c r="K13" t="s">
        <v>15</v>
      </c>
      <c r="L13" s="2" t="s">
        <v>3</v>
      </c>
      <c r="M13" s="2" t="s">
        <v>88</v>
      </c>
    </row>
    <row r="14" spans="2:20">
      <c r="B14" s="16">
        <v>46128</v>
      </c>
      <c r="C14" s="17" t="str">
        <f t="shared" si="0"/>
        <v>Apr</v>
      </c>
      <c r="D14" s="19" t="str">
        <f>_xlfn.XLOOKUP(Table1[[#This Row],[Category]],Table2[Type],Table2[Cash Flow])</f>
        <v>Expense</v>
      </c>
      <c r="E14" s="19" t="s">
        <v>31</v>
      </c>
      <c r="F14" s="18">
        <v>1000</v>
      </c>
      <c r="G14" s="18">
        <v>1000</v>
      </c>
      <c r="H14" s="18" t="str">
        <f>_xlfn.XLOOKUP(Table1[[#This Row],[Category]],Table2[Type],Table2[Sub Type])</f>
        <v>Financial Priority</v>
      </c>
      <c r="I14" s="19" t="s">
        <v>34</v>
      </c>
      <c r="K14" t="s">
        <v>19</v>
      </c>
      <c r="L14" s="2" t="s">
        <v>3</v>
      </c>
      <c r="M14" s="2" t="s">
        <v>89</v>
      </c>
    </row>
    <row r="15" spans="2:20">
      <c r="B15" s="16">
        <v>46128</v>
      </c>
      <c r="C15" s="17" t="str">
        <f>TEXT(B15,"mmm")</f>
        <v>Apr</v>
      </c>
      <c r="D15" s="19" t="str">
        <f>_xlfn.XLOOKUP(Table1[[#This Row],[Category]],Table2[Type],Table2[Cash Flow])</f>
        <v>Expense</v>
      </c>
      <c r="E15" s="19" t="s">
        <v>31</v>
      </c>
      <c r="F15" s="18">
        <v>1000</v>
      </c>
      <c r="G15" s="18">
        <v>1000</v>
      </c>
      <c r="H15" s="18" t="str">
        <f>_xlfn.XLOOKUP(Table1[[#This Row],[Category]],Table2[Type],Table2[Sub Type])</f>
        <v>Financial Priority</v>
      </c>
      <c r="I15" s="19" t="s">
        <v>42</v>
      </c>
      <c r="K15" t="s">
        <v>57</v>
      </c>
      <c r="L15" s="2" t="s">
        <v>3</v>
      </c>
      <c r="M15" s="2" t="s">
        <v>92</v>
      </c>
      <c r="Q15" s="2"/>
    </row>
    <row r="16" spans="2:20">
      <c r="B16" s="16">
        <v>46128</v>
      </c>
      <c r="C16" s="17" t="str">
        <f>TEXT(B16,"mmm")</f>
        <v>Apr</v>
      </c>
      <c r="D16" s="19" t="str">
        <f>_xlfn.XLOOKUP(Table1[[#This Row],[Category]],Table2[Type],Table2[Cash Flow])</f>
        <v>Expense</v>
      </c>
      <c r="E16" s="19" t="s">
        <v>14</v>
      </c>
      <c r="F16" s="18">
        <v>500</v>
      </c>
      <c r="G16" s="18">
        <v>500</v>
      </c>
      <c r="H16" s="18" t="str">
        <f>_xlfn.XLOOKUP(Table1[[#This Row],[Category]],Table2[Type],Table2[Sub Type])</f>
        <v>Needs</v>
      </c>
      <c r="I16" s="19" t="s">
        <v>43</v>
      </c>
      <c r="K16" t="s">
        <v>54</v>
      </c>
      <c r="L16" s="2" t="s">
        <v>3</v>
      </c>
      <c r="M16" s="2" t="s">
        <v>88</v>
      </c>
      <c r="Q16" s="2"/>
    </row>
    <row r="17" spans="2:17">
      <c r="B17" s="16">
        <v>46128</v>
      </c>
      <c r="C17" s="17" t="str">
        <f>TEXT(B17,"mmm")</f>
        <v>Apr</v>
      </c>
      <c r="D17" s="19" t="str">
        <f>_xlfn.XLOOKUP(Table1[[#This Row],[Category]],Table2[Type],Table2[Cash Flow])</f>
        <v>Expense</v>
      </c>
      <c r="E17" s="19" t="s">
        <v>31</v>
      </c>
      <c r="F17" s="18">
        <v>3470</v>
      </c>
      <c r="G17" s="18">
        <v>3470</v>
      </c>
      <c r="H17" s="18" t="str">
        <f>_xlfn.XLOOKUP(Table1[[#This Row],[Category]],Table2[Type],Table2[Sub Type])</f>
        <v>Financial Priority</v>
      </c>
      <c r="I17" s="19" t="s">
        <v>45</v>
      </c>
      <c r="K17" t="s">
        <v>11</v>
      </c>
      <c r="L17" s="2" t="s">
        <v>3</v>
      </c>
      <c r="M17" s="2" t="s">
        <v>88</v>
      </c>
      <c r="Q17" s="2"/>
    </row>
    <row r="18" spans="2:17">
      <c r="B18" s="9">
        <v>46142</v>
      </c>
      <c r="C18" s="10" t="str">
        <f t="shared" si="0"/>
        <v>Apr</v>
      </c>
      <c r="D18" s="12" t="str">
        <f>_xlfn.XLOOKUP(Table1[[#This Row],[Category]],Table2[Type],Table2[Cash Flow])</f>
        <v>Income</v>
      </c>
      <c r="E18" s="12" t="s">
        <v>25</v>
      </c>
      <c r="F18" s="11">
        <v>17000</v>
      </c>
      <c r="G18" s="11"/>
      <c r="H18" s="11" t="str">
        <f>_xlfn.XLOOKUP(Table1[[#This Row],[Category]],Table2[Type],Table2[Sub Type])</f>
        <v>Salary</v>
      </c>
      <c r="I18" s="12"/>
      <c r="K18" t="s">
        <v>12</v>
      </c>
      <c r="L18" s="2" t="s">
        <v>3</v>
      </c>
      <c r="M18" s="2" t="s">
        <v>88</v>
      </c>
      <c r="Q18" s="2"/>
    </row>
    <row r="19" spans="2:17">
      <c r="B19" s="9">
        <v>46142</v>
      </c>
      <c r="C19" s="10" t="str">
        <f t="shared" si="0"/>
        <v>Apr</v>
      </c>
      <c r="D19" s="12" t="str">
        <f>_xlfn.XLOOKUP(Table1[[#This Row],[Category]],Table2[Type],Table2[Cash Flow])</f>
        <v>Income</v>
      </c>
      <c r="E19" s="12" t="s">
        <v>26</v>
      </c>
      <c r="F19" s="11">
        <v>7700</v>
      </c>
      <c r="G19" s="11"/>
      <c r="H19" s="11" t="str">
        <f>_xlfn.XLOOKUP(Table1[[#This Row],[Category]],Table2[Type],Table2[Sub Type])</f>
        <v>Salary</v>
      </c>
      <c r="I19" s="12"/>
      <c r="K19" t="s">
        <v>5</v>
      </c>
      <c r="L19" s="2" t="s">
        <v>3</v>
      </c>
      <c r="M19" s="2" t="s">
        <v>88</v>
      </c>
    </row>
    <row r="20" spans="2:17">
      <c r="B20" s="25">
        <v>46142</v>
      </c>
      <c r="C20" s="26" t="str">
        <f t="shared" si="0"/>
        <v>Apr</v>
      </c>
      <c r="D20" s="28" t="str">
        <f>_xlfn.XLOOKUP(Table1[[#This Row],[Category]],Table2[Type],Table2[Cash Flow])</f>
        <v>Expense</v>
      </c>
      <c r="E20" s="28" t="s">
        <v>31</v>
      </c>
      <c r="F20" s="27">
        <v>4000</v>
      </c>
      <c r="G20" s="27">
        <v>4000</v>
      </c>
      <c r="H20" s="27" t="str">
        <f>_xlfn.XLOOKUP(Table1[[#This Row],[Category]],Table2[Type],Table2[Sub Type])</f>
        <v>Financial Priority</v>
      </c>
      <c r="I20" s="28" t="s">
        <v>35</v>
      </c>
      <c r="K20" t="s">
        <v>17</v>
      </c>
      <c r="L20" s="2" t="s">
        <v>3</v>
      </c>
      <c r="M20" s="2" t="s">
        <v>89</v>
      </c>
    </row>
    <row r="21" spans="2:17">
      <c r="B21" s="29">
        <v>46142</v>
      </c>
      <c r="C21" s="30" t="str">
        <f t="shared" si="0"/>
        <v>Apr</v>
      </c>
      <c r="D21" s="32" t="str">
        <f>_xlfn.XLOOKUP(Table1[[#This Row],[Category]],Table2[Type],Table2[Cash Flow])</f>
        <v>Expense</v>
      </c>
      <c r="E21" s="32" t="s">
        <v>13</v>
      </c>
      <c r="F21" s="31">
        <v>8500</v>
      </c>
      <c r="G21" s="31">
        <v>8500</v>
      </c>
      <c r="H21" s="31" t="str">
        <f>_xlfn.XLOOKUP(Table1[[#This Row],[Category]],Table2[Type],Table2[Sub Type])</f>
        <v>Financial Priority</v>
      </c>
      <c r="I21" s="32" t="s">
        <v>29</v>
      </c>
      <c r="K21" t="s">
        <v>6</v>
      </c>
      <c r="L21" s="2" t="s">
        <v>3</v>
      </c>
      <c r="M21" s="2" t="s">
        <v>89</v>
      </c>
    </row>
    <row r="22" spans="2:17">
      <c r="B22" s="25">
        <v>46142</v>
      </c>
      <c r="C22" s="26" t="str">
        <f t="shared" si="0"/>
        <v>Apr</v>
      </c>
      <c r="D22" s="28" t="str">
        <f>_xlfn.XLOOKUP(Table1[[#This Row],[Category]],Table2[Type],Table2[Cash Flow])</f>
        <v>Expense</v>
      </c>
      <c r="E22" s="28" t="s">
        <v>31</v>
      </c>
      <c r="F22" s="27">
        <v>3460</v>
      </c>
      <c r="G22" s="27">
        <v>3460</v>
      </c>
      <c r="H22" s="27" t="str">
        <f>_xlfn.XLOOKUP(Table1[[#This Row],[Category]],Table2[Type],Table2[Sub Type])</f>
        <v>Financial Priority</v>
      </c>
      <c r="I22" s="28" t="s">
        <v>36</v>
      </c>
      <c r="K22" t="s">
        <v>18</v>
      </c>
      <c r="L22" s="2" t="s">
        <v>3</v>
      </c>
      <c r="M22" s="2" t="s">
        <v>89</v>
      </c>
    </row>
    <row r="23" spans="2:17">
      <c r="B23" s="25">
        <v>46142</v>
      </c>
      <c r="C23" s="26" t="str">
        <f t="shared" si="0"/>
        <v>Apr</v>
      </c>
      <c r="D23" s="28" t="str">
        <f>_xlfn.XLOOKUP(Table1[[#This Row],[Category]],Table2[Type],Table2[Cash Flow])</f>
        <v>Expense</v>
      </c>
      <c r="E23" s="28" t="s">
        <v>5</v>
      </c>
      <c r="F23" s="27">
        <v>2500</v>
      </c>
      <c r="G23" s="27">
        <v>2500</v>
      </c>
      <c r="H23" s="27" t="str">
        <f>_xlfn.XLOOKUP(Table1[[#This Row],[Category]],Table2[Type],Table2[Sub Type])</f>
        <v>Needs</v>
      </c>
      <c r="I23" s="28" t="s">
        <v>37</v>
      </c>
      <c r="K23" t="s">
        <v>21</v>
      </c>
      <c r="L23" s="2" t="s">
        <v>3</v>
      </c>
      <c r="M23" s="2" t="s">
        <v>89</v>
      </c>
    </row>
    <row r="24" spans="2:17">
      <c r="B24" s="25">
        <v>46142</v>
      </c>
      <c r="C24" s="26" t="str">
        <f t="shared" si="0"/>
        <v>Apr</v>
      </c>
      <c r="D24" s="28" t="str">
        <f>_xlfn.XLOOKUP(Table1[[#This Row],[Category]],Table2[Type],Table2[Cash Flow])</f>
        <v>Expense</v>
      </c>
      <c r="E24" s="28" t="s">
        <v>5</v>
      </c>
      <c r="F24" s="27">
        <v>1200</v>
      </c>
      <c r="G24" s="27">
        <v>1200</v>
      </c>
      <c r="H24" s="27" t="str">
        <f>_xlfn.XLOOKUP(Table1[[#This Row],[Category]],Table2[Type],Table2[Sub Type])</f>
        <v>Needs</v>
      </c>
      <c r="I24" s="28" t="s">
        <v>28</v>
      </c>
      <c r="K24" t="s">
        <v>31</v>
      </c>
      <c r="L24" s="2" t="s">
        <v>3</v>
      </c>
      <c r="M24" s="2" t="s">
        <v>92</v>
      </c>
    </row>
    <row r="25" spans="2:17">
      <c r="B25" s="25">
        <v>46142</v>
      </c>
      <c r="C25" s="26" t="str">
        <f t="shared" si="0"/>
        <v>Apr</v>
      </c>
      <c r="D25" s="28" t="str">
        <f>_xlfn.XLOOKUP(Table1[[#This Row],[Category]],Table2[Type],Table2[Cash Flow])</f>
        <v>Expense</v>
      </c>
      <c r="E25" s="28" t="s">
        <v>5</v>
      </c>
      <c r="F25" s="27">
        <v>500</v>
      </c>
      <c r="G25" s="27">
        <v>500</v>
      </c>
      <c r="H25" s="27" t="str">
        <f>_xlfn.XLOOKUP(Table1[[#This Row],[Category]],Table2[Type],Table2[Sub Type])</f>
        <v>Needs</v>
      </c>
      <c r="I25" s="28" t="s">
        <v>38</v>
      </c>
      <c r="K25" t="s">
        <v>52</v>
      </c>
      <c r="L25" s="2" t="s">
        <v>3</v>
      </c>
      <c r="M25" s="2" t="s">
        <v>88</v>
      </c>
    </row>
    <row r="26" spans="2:17">
      <c r="B26" s="25">
        <v>46142</v>
      </c>
      <c r="C26" s="26" t="str">
        <f t="shared" si="0"/>
        <v>Apr</v>
      </c>
      <c r="D26" s="28" t="str">
        <f>_xlfn.XLOOKUP(Table1[[#This Row],[Category]],Table2[Type],Table2[Cash Flow])</f>
        <v>Expense</v>
      </c>
      <c r="E26" s="28" t="s">
        <v>4</v>
      </c>
      <c r="F26" s="27">
        <v>1300</v>
      </c>
      <c r="G26" s="27">
        <v>1300</v>
      </c>
      <c r="H26" s="27" t="str">
        <f>_xlfn.XLOOKUP(Table1[[#This Row],[Category]],Table2[Type],Table2[Sub Type])</f>
        <v>Financial Priority</v>
      </c>
      <c r="I26" s="28" t="s">
        <v>39</v>
      </c>
      <c r="K26" t="s">
        <v>73</v>
      </c>
      <c r="L26" s="2" t="s">
        <v>3</v>
      </c>
      <c r="M26" s="2" t="s">
        <v>88</v>
      </c>
    </row>
    <row r="27" spans="2:17">
      <c r="B27" s="25">
        <v>46142</v>
      </c>
      <c r="C27" s="26" t="str">
        <f t="shared" si="0"/>
        <v>Apr</v>
      </c>
      <c r="D27" s="28" t="str">
        <f>_xlfn.XLOOKUP(Table1[[#This Row],[Category]],Table2[Type],Table2[Cash Flow])</f>
        <v>Expense</v>
      </c>
      <c r="E27" s="28" t="s">
        <v>15</v>
      </c>
      <c r="F27" s="27">
        <v>1000</v>
      </c>
      <c r="G27" s="27">
        <v>1000</v>
      </c>
      <c r="H27" s="27" t="str">
        <f>_xlfn.XLOOKUP(Table1[[#This Row],[Category]],Table2[Type],Table2[Sub Type])</f>
        <v>Needs</v>
      </c>
      <c r="I27" s="28" t="s">
        <v>53</v>
      </c>
      <c r="K27" t="s">
        <v>105</v>
      </c>
      <c r="L27" s="2" t="s">
        <v>105</v>
      </c>
      <c r="M27" s="2" t="s">
        <v>92</v>
      </c>
    </row>
    <row r="28" spans="2:17">
      <c r="B28" s="25">
        <v>46142</v>
      </c>
      <c r="C28" s="26" t="str">
        <f>TEXT(B28,"mmm")</f>
        <v>Apr</v>
      </c>
      <c r="D28" s="28" t="str">
        <f>_xlfn.XLOOKUP(Table1[[#This Row],[Category]],Table2[Type],Table2[Cash Flow])</f>
        <v>Expense</v>
      </c>
      <c r="E28" s="28" t="s">
        <v>4</v>
      </c>
      <c r="F28" s="27">
        <v>250</v>
      </c>
      <c r="G28" s="27">
        <v>250</v>
      </c>
      <c r="H28" s="27" t="str">
        <f>_xlfn.XLOOKUP(Table1[[#This Row],[Category]],Table2[Type],Table2[Sub Type])</f>
        <v>Financial Priority</v>
      </c>
      <c r="I28" s="28" t="s">
        <v>27</v>
      </c>
    </row>
    <row r="29" spans="2:17">
      <c r="B29" s="25">
        <v>46142</v>
      </c>
      <c r="C29" s="26" t="str">
        <f>TEXT(B29,"mmm")</f>
        <v>Apr</v>
      </c>
      <c r="D29" s="28" t="str">
        <f>_xlfn.XLOOKUP(Table1[[#This Row],[Category]],Table2[Type],Table2[Cash Flow])</f>
        <v>Expense</v>
      </c>
      <c r="E29" s="28" t="s">
        <v>31</v>
      </c>
      <c r="F29" s="27">
        <v>1000</v>
      </c>
      <c r="G29" s="27">
        <v>1000</v>
      </c>
      <c r="H29" s="27" t="str">
        <f>_xlfn.XLOOKUP(Table1[[#This Row],[Category]],Table2[Type],Table2[Sub Type])</f>
        <v>Financial Priority</v>
      </c>
      <c r="I29" s="28" t="s">
        <v>32</v>
      </c>
    </row>
    <row r="30" spans="2:17">
      <c r="B30" s="25">
        <v>46142</v>
      </c>
      <c r="C30" s="26" t="str">
        <f>TEXT(B30,"mmm")</f>
        <v>Apr</v>
      </c>
      <c r="D30" s="28" t="str">
        <f>_xlfn.XLOOKUP(Table1[[#This Row],[Category]],Table2[Type],Table2[Cash Flow])</f>
        <v>Expense</v>
      </c>
      <c r="E30" s="28" t="s">
        <v>4</v>
      </c>
      <c r="F30" s="27">
        <v>270</v>
      </c>
      <c r="G30" s="27">
        <v>270</v>
      </c>
      <c r="H30" s="27" t="str">
        <f>_xlfn.XLOOKUP(Table1[[#This Row],[Category]],Table2[Type],Table2[Sub Type])</f>
        <v>Financial Priority</v>
      </c>
      <c r="I30" s="28" t="s">
        <v>30</v>
      </c>
    </row>
    <row r="31" spans="2:17">
      <c r="B31" s="9">
        <v>46157</v>
      </c>
      <c r="C31" s="10" t="str">
        <f t="shared" si="0"/>
        <v>May</v>
      </c>
      <c r="D31" s="12" t="str">
        <f>_xlfn.XLOOKUP(Table1[[#This Row],[Category]],Table2[Type],Table2[Cash Flow])</f>
        <v>Income</v>
      </c>
      <c r="E31" s="12" t="s">
        <v>25</v>
      </c>
      <c r="F31" s="11">
        <v>16500</v>
      </c>
      <c r="G31" s="11"/>
      <c r="H31" s="11" t="str">
        <f>_xlfn.XLOOKUP(Table1[[#This Row],[Category]],Table2[Type],Table2[Sub Type])</f>
        <v>Salary</v>
      </c>
      <c r="I31" s="12"/>
    </row>
    <row r="32" spans="2:17">
      <c r="B32" s="9">
        <v>46157</v>
      </c>
      <c r="C32" s="10" t="str">
        <f t="shared" si="0"/>
        <v>May</v>
      </c>
      <c r="D32" s="12" t="str">
        <f>_xlfn.XLOOKUP(Table1[[#This Row],[Category]],Table2[Type],Table2[Cash Flow])</f>
        <v>Income</v>
      </c>
      <c r="E32" s="12" t="s">
        <v>26</v>
      </c>
      <c r="F32" s="11">
        <v>8000</v>
      </c>
      <c r="G32" s="11"/>
      <c r="H32" s="11" t="str">
        <f>_xlfn.XLOOKUP(Table1[[#This Row],[Category]],Table2[Type],Table2[Sub Type])</f>
        <v>Salary</v>
      </c>
      <c r="I32" s="12"/>
    </row>
    <row r="33" spans="2:18">
      <c r="B33" s="25">
        <v>46157</v>
      </c>
      <c r="C33" s="26" t="str">
        <f t="shared" si="0"/>
        <v>May</v>
      </c>
      <c r="D33" s="28" t="str">
        <f>_xlfn.XLOOKUP(Table1[[#This Row],[Category]],Table2[Type],Table2[Cash Flow])</f>
        <v>Expense</v>
      </c>
      <c r="E33" s="28" t="s">
        <v>9</v>
      </c>
      <c r="F33" s="27">
        <v>9000</v>
      </c>
      <c r="G33" s="27">
        <v>9000</v>
      </c>
      <c r="H33" s="27" t="str">
        <f>_xlfn.XLOOKUP(Table1[[#This Row],[Category]],Table2[Type],Table2[Sub Type])</f>
        <v>Financial Priority</v>
      </c>
      <c r="I33" s="28" t="s">
        <v>46</v>
      </c>
      <c r="K33" s="14"/>
    </row>
    <row r="34" spans="2:18">
      <c r="B34" s="25">
        <v>46157</v>
      </c>
      <c r="C34" s="26" t="str">
        <f t="shared" si="0"/>
        <v>May</v>
      </c>
      <c r="D34" s="28" t="str">
        <f>_xlfn.XLOOKUP(Table1[[#This Row],[Category]],Table2[Type],Table2[Cash Flow])</f>
        <v>Expense</v>
      </c>
      <c r="E34" s="28" t="s">
        <v>4</v>
      </c>
      <c r="F34" s="27">
        <v>250</v>
      </c>
      <c r="G34" s="27">
        <v>250</v>
      </c>
      <c r="H34" s="27" t="str">
        <f>_xlfn.XLOOKUP(Table1[[#This Row],[Category]],Table2[Type],Table2[Sub Type])</f>
        <v>Financial Priority</v>
      </c>
      <c r="I34" s="28" t="s">
        <v>27</v>
      </c>
    </row>
    <row r="35" spans="2:18">
      <c r="B35" s="25">
        <v>46157</v>
      </c>
      <c r="C35" s="26" t="str">
        <f t="shared" si="0"/>
        <v>May</v>
      </c>
      <c r="D35" s="28" t="str">
        <f>_xlfn.XLOOKUP(Table1[[#This Row],[Category]],Table2[Type],Table2[Cash Flow])</f>
        <v>Expense</v>
      </c>
      <c r="E35" s="28" t="s">
        <v>5</v>
      </c>
      <c r="F35" s="27">
        <v>1500</v>
      </c>
      <c r="G35" s="27">
        <v>1489</v>
      </c>
      <c r="H35" s="27" t="str">
        <f>_xlfn.XLOOKUP(Table1[[#This Row],[Category]],Table2[Type],Table2[Sub Type])</f>
        <v>Needs</v>
      </c>
      <c r="I35" s="28" t="s">
        <v>28</v>
      </c>
    </row>
    <row r="36" spans="2:18">
      <c r="B36" s="25">
        <v>46157</v>
      </c>
      <c r="C36" s="26" t="str">
        <f t="shared" si="0"/>
        <v>May</v>
      </c>
      <c r="D36" s="28" t="str">
        <f>_xlfn.XLOOKUP(Table1[[#This Row],[Category]],Table2[Type],Table2[Cash Flow])</f>
        <v>Expense</v>
      </c>
      <c r="E36" s="28" t="s">
        <v>4</v>
      </c>
      <c r="F36" s="27">
        <v>1300</v>
      </c>
      <c r="G36" s="27">
        <v>1950</v>
      </c>
      <c r="H36" s="27" t="str">
        <f>_xlfn.XLOOKUP(Table1[[#This Row],[Category]],Table2[Type],Table2[Sub Type])</f>
        <v>Financial Priority</v>
      </c>
      <c r="I36" s="28" t="s">
        <v>39</v>
      </c>
      <c r="L36" s="3"/>
    </row>
    <row r="37" spans="2:18">
      <c r="B37" s="25">
        <v>46157</v>
      </c>
      <c r="C37" s="26" t="str">
        <f t="shared" si="0"/>
        <v>May</v>
      </c>
      <c r="D37" s="28" t="str">
        <f>_xlfn.XLOOKUP(Table1[[#This Row],[Category]],Table2[Type],Table2[Cash Flow])</f>
        <v>Expense</v>
      </c>
      <c r="E37" s="28" t="s">
        <v>15</v>
      </c>
      <c r="F37" s="27">
        <v>500</v>
      </c>
      <c r="G37" s="27">
        <v>200</v>
      </c>
      <c r="H37" s="27" t="str">
        <f>_xlfn.XLOOKUP(Table1[[#This Row],[Category]],Table2[Type],Table2[Sub Type])</f>
        <v>Needs</v>
      </c>
      <c r="I37" s="28" t="s">
        <v>50</v>
      </c>
      <c r="L37" s="3"/>
    </row>
    <row r="38" spans="2:18">
      <c r="B38" s="25">
        <v>46157</v>
      </c>
      <c r="C38" s="26" t="str">
        <f t="shared" si="0"/>
        <v>May</v>
      </c>
      <c r="D38" s="28" t="str">
        <f>_xlfn.XLOOKUP(Table1[[#This Row],[Category]],Table2[Type],Table2[Cash Flow])</f>
        <v>Expense</v>
      </c>
      <c r="E38" s="28" t="s">
        <v>5</v>
      </c>
      <c r="F38" s="27">
        <v>2500</v>
      </c>
      <c r="G38" s="27">
        <v>3500</v>
      </c>
      <c r="H38" s="27" t="str">
        <f>_xlfn.XLOOKUP(Table1[[#This Row],[Category]],Table2[Type],Table2[Sub Type])</f>
        <v>Needs</v>
      </c>
      <c r="I38" s="28" t="s">
        <v>33</v>
      </c>
    </row>
    <row r="39" spans="2:18">
      <c r="B39" s="25">
        <v>46157</v>
      </c>
      <c r="C39" s="26" t="str">
        <f t="shared" ref="C39:C44" si="1">TEXT(B39,"mmm")</f>
        <v>May</v>
      </c>
      <c r="D39" s="28" t="str">
        <f>_xlfn.XLOOKUP(Table1[[#This Row],[Category]],Table2[Type],Table2[Cash Flow])</f>
        <v>Expense</v>
      </c>
      <c r="E39" s="28" t="s">
        <v>5</v>
      </c>
      <c r="F39" s="27">
        <v>500</v>
      </c>
      <c r="G39" s="27">
        <v>100</v>
      </c>
      <c r="H39" s="27" t="str">
        <f>_xlfn.XLOOKUP(Table1[[#This Row],[Category]],Table2[Type],Table2[Sub Type])</f>
        <v>Needs</v>
      </c>
      <c r="I39" s="28" t="s">
        <v>38</v>
      </c>
    </row>
    <row r="40" spans="2:18">
      <c r="B40" s="25">
        <v>46157</v>
      </c>
      <c r="C40" s="26" t="str">
        <f t="shared" si="1"/>
        <v>May</v>
      </c>
      <c r="D40" s="28" t="str">
        <f>_xlfn.XLOOKUP(Table1[[#This Row],[Category]],Table2[Type],Table2[Cash Flow])</f>
        <v>Expense</v>
      </c>
      <c r="E40" s="28" t="s">
        <v>31</v>
      </c>
      <c r="F40" s="27">
        <v>1166</v>
      </c>
      <c r="G40" s="27">
        <v>1166</v>
      </c>
      <c r="H40" s="27" t="str">
        <f>_xlfn.XLOOKUP(Table1[[#This Row],[Category]],Table2[Type],Table2[Sub Type])</f>
        <v>Financial Priority</v>
      </c>
      <c r="I40" s="28" t="s">
        <v>74</v>
      </c>
    </row>
    <row r="41" spans="2:18">
      <c r="B41" s="25">
        <v>46157</v>
      </c>
      <c r="C41" s="26" t="str">
        <f t="shared" si="1"/>
        <v>May</v>
      </c>
      <c r="D41" s="28" t="str">
        <f>_xlfn.XLOOKUP(Table1[[#This Row],[Category]],Table2[Type],Table2[Cash Flow])</f>
        <v>Expense</v>
      </c>
      <c r="E41" s="28" t="s">
        <v>5</v>
      </c>
      <c r="F41" s="27">
        <v>500</v>
      </c>
      <c r="G41" s="27">
        <v>0</v>
      </c>
      <c r="H41" s="27" t="str">
        <f>_xlfn.XLOOKUP(Table1[[#This Row],[Category]],Table2[Type],Table2[Sub Type])</f>
        <v>Needs</v>
      </c>
      <c r="I41" s="28" t="s">
        <v>47</v>
      </c>
    </row>
    <row r="42" spans="2:18">
      <c r="B42" s="29">
        <v>46157</v>
      </c>
      <c r="C42" s="30" t="str">
        <f t="shared" si="1"/>
        <v>May</v>
      </c>
      <c r="D42" s="32" t="str">
        <f>_xlfn.XLOOKUP(Table1[[#This Row],[Category]],Table2[Type],Table2[Cash Flow])</f>
        <v>Expense</v>
      </c>
      <c r="E42" s="32" t="s">
        <v>21</v>
      </c>
      <c r="F42" s="31">
        <v>4500</v>
      </c>
      <c r="G42" s="31">
        <v>6000</v>
      </c>
      <c r="H42" s="31" t="str">
        <f>_xlfn.XLOOKUP(Table1[[#This Row],[Category]],Table2[Type],Table2[Sub Type])</f>
        <v>Wants</v>
      </c>
      <c r="I42" s="32" t="s">
        <v>51</v>
      </c>
    </row>
    <row r="43" spans="2:18">
      <c r="B43" s="25">
        <v>46157</v>
      </c>
      <c r="C43" s="26" t="str">
        <f t="shared" si="1"/>
        <v>May</v>
      </c>
      <c r="D43" s="28" t="str">
        <f>_xlfn.XLOOKUP(Table1[[#This Row],[Category]],Table2[Type],Table2[Cash Flow])</f>
        <v>Expense</v>
      </c>
      <c r="E43" s="28" t="s">
        <v>14</v>
      </c>
      <c r="F43" s="27">
        <v>1000</v>
      </c>
      <c r="G43" s="27">
        <v>1000</v>
      </c>
      <c r="H43" s="27" t="str">
        <f>_xlfn.XLOOKUP(Table1[[#This Row],[Category]],Table2[Type],Table2[Sub Type])</f>
        <v>Needs</v>
      </c>
      <c r="I43" s="28" t="s">
        <v>14</v>
      </c>
      <c r="N43" s="36"/>
      <c r="O43" s="14"/>
      <c r="P43" s="14"/>
      <c r="Q43" s="14"/>
      <c r="R43" s="14"/>
    </row>
    <row r="44" spans="2:18">
      <c r="B44" s="25">
        <v>46157</v>
      </c>
      <c r="C44" s="26" t="str">
        <f t="shared" si="1"/>
        <v>May</v>
      </c>
      <c r="D44" s="28" t="str">
        <f>_xlfn.XLOOKUP(Table1[[#This Row],[Category]],Table2[Type],Table2[Cash Flow])</f>
        <v>Expense</v>
      </c>
      <c r="E44" s="28" t="s">
        <v>31</v>
      </c>
      <c r="F44" s="27">
        <v>2000</v>
      </c>
      <c r="G44" s="27">
        <v>0</v>
      </c>
      <c r="H44" s="27" t="str">
        <f>_xlfn.XLOOKUP(Table1[[#This Row],[Category]],Table2[Type],Table2[Sub Type])</f>
        <v>Financial Priority</v>
      </c>
      <c r="I44" s="28" t="s">
        <v>42</v>
      </c>
    </row>
    <row r="45" spans="2:18">
      <c r="B45" s="9">
        <v>46172</v>
      </c>
      <c r="C45" s="10" t="str">
        <f t="shared" si="0"/>
        <v>May</v>
      </c>
      <c r="D45" s="12" t="str">
        <f>_xlfn.XLOOKUP(Table1[[#This Row],[Category]],Table2[Type],Table2[Cash Flow])</f>
        <v>Income</v>
      </c>
      <c r="E45" s="12" t="s">
        <v>25</v>
      </c>
      <c r="F45" s="11">
        <v>17500</v>
      </c>
      <c r="G45" s="11"/>
      <c r="H45" s="11" t="str">
        <f>_xlfn.XLOOKUP(Table1[[#This Row],[Category]],Table2[Type],Table2[Sub Type])</f>
        <v>Salary</v>
      </c>
      <c r="I45" s="12"/>
    </row>
    <row r="46" spans="2:18">
      <c r="B46" s="9">
        <v>46172</v>
      </c>
      <c r="C46" s="10" t="str">
        <f t="shared" si="0"/>
        <v>May</v>
      </c>
      <c r="D46" s="12" t="str">
        <f>_xlfn.XLOOKUP(Table1[[#This Row],[Category]],Table2[Type],Table2[Cash Flow])</f>
        <v>Income</v>
      </c>
      <c r="E46" s="12" t="s">
        <v>26</v>
      </c>
      <c r="F46" s="11">
        <v>8000</v>
      </c>
      <c r="G46" s="11"/>
      <c r="H46" s="11" t="str">
        <f>_xlfn.XLOOKUP(Table1[[#This Row],[Category]],Table2[Type],Table2[Sub Type])</f>
        <v>Salary</v>
      </c>
      <c r="I46" s="12"/>
      <c r="K46" s="14"/>
    </row>
    <row r="47" spans="2:18">
      <c r="B47" s="20">
        <v>46172</v>
      </c>
      <c r="C47" s="21" t="str">
        <f t="shared" si="0"/>
        <v>May</v>
      </c>
      <c r="D47" s="23" t="str">
        <f>_xlfn.XLOOKUP(Table1[[#This Row],[Category]],Table2[Type],Table2[Cash Flow])</f>
        <v>Expense</v>
      </c>
      <c r="E47" s="23" t="s">
        <v>13</v>
      </c>
      <c r="F47" s="22">
        <v>8550</v>
      </c>
      <c r="G47" s="22">
        <v>8550</v>
      </c>
      <c r="H47" s="22" t="str">
        <f>_xlfn.XLOOKUP(Table1[[#This Row],[Category]],Table2[Type],Table2[Sub Type])</f>
        <v>Financial Priority</v>
      </c>
      <c r="I47" s="23" t="s">
        <v>48</v>
      </c>
    </row>
    <row r="48" spans="2:18">
      <c r="B48" s="20">
        <v>46172</v>
      </c>
      <c r="C48" s="21" t="str">
        <f>TEXT(B48,"mmm")</f>
        <v>May</v>
      </c>
      <c r="D48" s="23" t="str">
        <f>_xlfn.XLOOKUP(Table1[[#This Row],[Category]],Table2[Type],Table2[Cash Flow])</f>
        <v>Expense</v>
      </c>
      <c r="E48" s="23" t="s">
        <v>13</v>
      </c>
      <c r="F48" s="22">
        <v>7000</v>
      </c>
      <c r="G48" s="22">
        <v>7000</v>
      </c>
      <c r="H48" s="22" t="str">
        <f>_xlfn.XLOOKUP(Table1[[#This Row],[Category]],Table2[Type],Table2[Sub Type])</f>
        <v>Financial Priority</v>
      </c>
      <c r="I48" s="23" t="s">
        <v>48</v>
      </c>
    </row>
    <row r="49" spans="2:18">
      <c r="B49" s="8">
        <v>46172</v>
      </c>
      <c r="C49" s="2" t="str">
        <f t="shared" si="0"/>
        <v>May</v>
      </c>
      <c r="D49" t="str">
        <f>_xlfn.XLOOKUP(Table1[[#This Row],[Category]],Table2[Type],Table2[Cash Flow])</f>
        <v>Expense</v>
      </c>
      <c r="E49" t="s">
        <v>31</v>
      </c>
      <c r="F49" s="3">
        <v>3460</v>
      </c>
      <c r="G49" s="3">
        <v>3460</v>
      </c>
      <c r="H49" s="3" t="str">
        <f>_xlfn.XLOOKUP(Table1[[#This Row],[Category]],Table2[Type],Table2[Sub Type])</f>
        <v>Financial Priority</v>
      </c>
      <c r="I49" t="s">
        <v>40</v>
      </c>
      <c r="L49" s="3"/>
    </row>
    <row r="50" spans="2:18">
      <c r="B50" s="20">
        <v>46172</v>
      </c>
      <c r="C50" s="21" t="str">
        <f>TEXT(B50,"mmm")</f>
        <v>May</v>
      </c>
      <c r="D50" s="23" t="str">
        <f>_xlfn.XLOOKUP(Table1[[#This Row],[Category]],Table2[Type],Table2[Cash Flow])</f>
        <v>Expense</v>
      </c>
      <c r="E50" s="23" t="s">
        <v>52</v>
      </c>
      <c r="F50" s="22">
        <v>1000</v>
      </c>
      <c r="G50" s="22">
        <v>1000</v>
      </c>
      <c r="H50" s="22" t="str">
        <f>_xlfn.XLOOKUP(Table1[[#This Row],[Category]],Table2[Type],Table2[Sub Type])</f>
        <v>Needs</v>
      </c>
      <c r="I50" s="23" t="s">
        <v>55</v>
      </c>
      <c r="L50" s="3"/>
    </row>
    <row r="51" spans="2:18">
      <c r="B51" s="8">
        <v>46172</v>
      </c>
      <c r="C51" s="2" t="str">
        <f t="shared" ref="C51:C56" si="2">TEXT(B51,"mmm")</f>
        <v>May</v>
      </c>
      <c r="D51" t="str">
        <f>_xlfn.XLOOKUP(Table1[[#This Row],[Category]],Table2[Type],Table2[Cash Flow])</f>
        <v>Expense</v>
      </c>
      <c r="E51" t="s">
        <v>5</v>
      </c>
      <c r="F51" s="3">
        <v>1500</v>
      </c>
      <c r="G51" s="3">
        <v>1500</v>
      </c>
      <c r="H51" s="3" t="str">
        <f>_xlfn.XLOOKUP(Table1[[#This Row],[Category]],Table2[Type],Table2[Sub Type])</f>
        <v>Needs</v>
      </c>
      <c r="I51" t="s">
        <v>28</v>
      </c>
    </row>
    <row r="52" spans="2:18">
      <c r="B52" s="8">
        <v>46172</v>
      </c>
      <c r="C52" s="2" t="str">
        <f t="shared" si="2"/>
        <v>May</v>
      </c>
      <c r="D52" t="str">
        <f>_xlfn.XLOOKUP(Table1[[#This Row],[Category]],Table2[Type],Table2[Cash Flow])</f>
        <v>Expense</v>
      </c>
      <c r="E52" t="s">
        <v>5</v>
      </c>
      <c r="F52" s="3">
        <v>500</v>
      </c>
      <c r="G52" s="3">
        <v>500</v>
      </c>
      <c r="H52" s="3" t="str">
        <f>_xlfn.XLOOKUP(Table1[[#This Row],[Category]],Table2[Type],Table2[Sub Type])</f>
        <v>Needs</v>
      </c>
      <c r="I52" t="s">
        <v>38</v>
      </c>
    </row>
    <row r="53" spans="2:18">
      <c r="B53" s="8">
        <v>46172</v>
      </c>
      <c r="C53" s="2" t="str">
        <f>TEXT(B53,"mmm")</f>
        <v>May</v>
      </c>
      <c r="D53" t="str">
        <f>_xlfn.XLOOKUP(Table1[[#This Row],[Category]],Table2[Type],Table2[Cash Flow])</f>
        <v>Expense</v>
      </c>
      <c r="E53" t="s">
        <v>4</v>
      </c>
      <c r="F53" s="3">
        <v>500</v>
      </c>
      <c r="G53" s="3">
        <v>500</v>
      </c>
      <c r="H53" s="3" t="str">
        <f>_xlfn.XLOOKUP(Table1[[#This Row],[Category]],Table2[Type],Table2[Sub Type])</f>
        <v>Financial Priority</v>
      </c>
      <c r="I53" t="s">
        <v>30</v>
      </c>
    </row>
    <row r="54" spans="2:18">
      <c r="B54" s="8">
        <v>46172</v>
      </c>
      <c r="C54" s="2" t="str">
        <f>TEXT(B54,"mmm")</f>
        <v>May</v>
      </c>
      <c r="D54" t="str">
        <f>_xlfn.XLOOKUP(Table1[[#This Row],[Category]],Table2[Type],Table2[Cash Flow])</f>
        <v>Expense</v>
      </c>
      <c r="E54" t="s">
        <v>31</v>
      </c>
      <c r="F54" s="3">
        <v>2000</v>
      </c>
      <c r="G54" s="3">
        <v>2000</v>
      </c>
      <c r="H54" s="3" t="str">
        <f>_xlfn.XLOOKUP(Table1[[#This Row],[Category]],Table2[Type],Table2[Sub Type])</f>
        <v>Financial Priority</v>
      </c>
      <c r="I54" t="s">
        <v>75</v>
      </c>
    </row>
    <row r="55" spans="2:18">
      <c r="B55" s="8">
        <v>46172</v>
      </c>
      <c r="C55" s="2" t="str">
        <f>TEXT(B55,"mmm")</f>
        <v>May</v>
      </c>
      <c r="D55" t="str">
        <f>_xlfn.XLOOKUP(Table1[[#This Row],[Category]],Table2[Type],Table2[Cash Flow])</f>
        <v>Expense</v>
      </c>
      <c r="E55" t="s">
        <v>4</v>
      </c>
      <c r="F55" s="3">
        <v>500</v>
      </c>
      <c r="G55" s="3">
        <v>500</v>
      </c>
      <c r="H55" s="3" t="str">
        <f>_xlfn.XLOOKUP(Table1[[#This Row],[Category]],Table2[Type],Table2[Sub Type])</f>
        <v>Financial Priority</v>
      </c>
      <c r="I55" t="s">
        <v>27</v>
      </c>
      <c r="N55" s="36"/>
      <c r="P55" s="14"/>
      <c r="R55" s="14"/>
    </row>
    <row r="56" spans="2:18">
      <c r="B56" s="8">
        <v>46172</v>
      </c>
      <c r="C56" s="2" t="str">
        <f t="shared" si="2"/>
        <v>May</v>
      </c>
      <c r="D56" t="str">
        <f>_xlfn.XLOOKUP(Table1[[#This Row],[Category]],Table2[Type],Table2[Cash Flow])</f>
        <v>Expense</v>
      </c>
      <c r="E56" t="s">
        <v>14</v>
      </c>
      <c r="F56" s="3">
        <v>500</v>
      </c>
      <c r="G56" s="3">
        <v>500</v>
      </c>
      <c r="H56" s="3" t="str">
        <f>_xlfn.XLOOKUP(Table1[[#This Row],[Category]],Table2[Type],Table2[Sub Type])</f>
        <v>Needs</v>
      </c>
      <c r="I56" t="s">
        <v>14</v>
      </c>
    </row>
    <row r="57" spans="2:18">
      <c r="B57" s="9">
        <v>46188</v>
      </c>
      <c r="C57" s="10" t="str">
        <f t="shared" ref="C57:C75" si="3">TEXT(B57,"mmm")</f>
        <v>Jun</v>
      </c>
      <c r="D57" s="12" t="str">
        <f>_xlfn.XLOOKUP(Table1[[#This Row],[Category]],Table2[Type],Table2[Cash Flow])</f>
        <v>Income</v>
      </c>
      <c r="E57" s="12" t="s">
        <v>25</v>
      </c>
      <c r="F57" s="11">
        <v>17500</v>
      </c>
      <c r="G57" s="11"/>
      <c r="H57" s="11" t="str">
        <f>_xlfn.XLOOKUP(Table1[[#This Row],[Category]],Table2[Type],Table2[Sub Type])</f>
        <v>Salary</v>
      </c>
      <c r="I57" s="12"/>
    </row>
    <row r="58" spans="2:18">
      <c r="B58" s="9">
        <v>46188</v>
      </c>
      <c r="C58" s="10" t="str">
        <f t="shared" si="3"/>
        <v>Jun</v>
      </c>
      <c r="D58" s="12" t="str">
        <f>_xlfn.XLOOKUP(Table1[[#This Row],[Category]],Table2[Type],Table2[Cash Flow])</f>
        <v>Income</v>
      </c>
      <c r="E58" s="12" t="s">
        <v>26</v>
      </c>
      <c r="F58" s="11">
        <v>8000</v>
      </c>
      <c r="G58" s="11"/>
      <c r="H58" s="11" t="str">
        <f>_xlfn.XLOOKUP(Table1[[#This Row],[Category]],Table2[Type],Table2[Sub Type])</f>
        <v>Salary</v>
      </c>
      <c r="I58" s="12"/>
    </row>
    <row r="59" spans="2:18">
      <c r="B59" s="8">
        <v>46188</v>
      </c>
      <c r="C59" s="2" t="str">
        <f t="shared" si="3"/>
        <v>Jun</v>
      </c>
      <c r="D59" t="str">
        <f>_xlfn.XLOOKUP(Table1[[#This Row],[Category]],Table2[Type],Table2[Cash Flow])</f>
        <v>Expense</v>
      </c>
      <c r="E59" t="s">
        <v>9</v>
      </c>
      <c r="F59" s="3">
        <v>9000</v>
      </c>
      <c r="G59" s="3">
        <v>9000</v>
      </c>
      <c r="H59" s="3" t="str">
        <f>_xlfn.XLOOKUP(Table1[[#This Row],[Category]],Table2[Type],Table2[Sub Type])</f>
        <v>Financial Priority</v>
      </c>
      <c r="I59" t="s">
        <v>46</v>
      </c>
      <c r="K59" s="14"/>
    </row>
    <row r="60" spans="2:18">
      <c r="B60" s="8">
        <v>46188</v>
      </c>
      <c r="C60" s="2" t="str">
        <f t="shared" si="3"/>
        <v>Jun</v>
      </c>
      <c r="D60" t="str">
        <f>_xlfn.XLOOKUP(Table1[[#This Row],[Category]],Table2[Type],Table2[Cash Flow])</f>
        <v>Expense</v>
      </c>
      <c r="E60" t="s">
        <v>4</v>
      </c>
      <c r="F60" s="3">
        <v>899</v>
      </c>
      <c r="G60" s="3">
        <v>899</v>
      </c>
      <c r="H60" s="3" t="str">
        <f>_xlfn.XLOOKUP(Table1[[#This Row],[Category]],Table2[Type],Table2[Sub Type])</f>
        <v>Financial Priority</v>
      </c>
      <c r="I60" t="s">
        <v>27</v>
      </c>
    </row>
    <row r="61" spans="2:18">
      <c r="B61" s="8">
        <v>46188</v>
      </c>
      <c r="C61" s="2" t="str">
        <f t="shared" si="3"/>
        <v>Jun</v>
      </c>
      <c r="D61" t="str">
        <f>_xlfn.XLOOKUP(Table1[[#This Row],[Category]],Table2[Type],Table2[Cash Flow])</f>
        <v>Expense</v>
      </c>
      <c r="E61" t="s">
        <v>5</v>
      </c>
      <c r="F61" s="3">
        <v>1500</v>
      </c>
      <c r="G61" s="3">
        <v>1500</v>
      </c>
      <c r="H61" s="3" t="str">
        <f>_xlfn.XLOOKUP(Table1[[#This Row],[Category]],Table2[Type],Table2[Sub Type])</f>
        <v>Needs</v>
      </c>
      <c r="I61" t="s">
        <v>28</v>
      </c>
    </row>
    <row r="62" spans="2:18">
      <c r="B62" s="8">
        <v>46188</v>
      </c>
      <c r="C62" s="2" t="str">
        <f t="shared" si="3"/>
        <v>Jun</v>
      </c>
      <c r="D62" t="str">
        <f>_xlfn.XLOOKUP(Table1[[#This Row],[Category]],Table2[Type],Table2[Cash Flow])</f>
        <v>Expense</v>
      </c>
      <c r="E62" t="s">
        <v>4</v>
      </c>
      <c r="F62" s="3">
        <v>2000</v>
      </c>
      <c r="G62" s="3">
        <v>2000</v>
      </c>
      <c r="H62" s="3" t="str">
        <f>_xlfn.XLOOKUP(Table1[[#This Row],[Category]],Table2[Type],Table2[Sub Type])</f>
        <v>Financial Priority</v>
      </c>
      <c r="I62" t="s">
        <v>39</v>
      </c>
      <c r="L62" s="3"/>
    </row>
    <row r="63" spans="2:18">
      <c r="B63" s="8">
        <v>46188</v>
      </c>
      <c r="C63" s="2" t="str">
        <f t="shared" si="3"/>
        <v>Jun</v>
      </c>
      <c r="D63" t="str">
        <f>_xlfn.XLOOKUP(Table1[[#This Row],[Category]],Table2[Type],Table2[Cash Flow])</f>
        <v>Expense</v>
      </c>
      <c r="E63" t="s">
        <v>15</v>
      </c>
      <c r="F63" s="3">
        <v>500</v>
      </c>
      <c r="G63" s="3">
        <v>500</v>
      </c>
      <c r="H63" s="3" t="str">
        <f>_xlfn.XLOOKUP(Table1[[#This Row],[Category]],Table2[Type],Table2[Sub Type])</f>
        <v>Needs</v>
      </c>
      <c r="I63" t="s">
        <v>50</v>
      </c>
      <c r="L63" s="3"/>
    </row>
    <row r="64" spans="2:18">
      <c r="B64" s="8">
        <v>46188</v>
      </c>
      <c r="C64" s="2" t="str">
        <f t="shared" si="3"/>
        <v>Jun</v>
      </c>
      <c r="D64" t="str">
        <f>_xlfn.XLOOKUP(Table1[[#This Row],[Category]],Table2[Type],Table2[Cash Flow])</f>
        <v>Expense</v>
      </c>
      <c r="E64" t="s">
        <v>5</v>
      </c>
      <c r="F64" s="3">
        <v>2500</v>
      </c>
      <c r="G64" s="3">
        <v>2500</v>
      </c>
      <c r="H64" s="3" t="str">
        <f>_xlfn.XLOOKUP(Table1[[#This Row],[Category]],Table2[Type],Table2[Sub Type])</f>
        <v>Needs</v>
      </c>
      <c r="I64" t="s">
        <v>33</v>
      </c>
    </row>
    <row r="65" spans="2:18">
      <c r="B65" s="20">
        <v>46188</v>
      </c>
      <c r="C65" s="21" t="str">
        <f t="shared" ref="C65:C70" si="4">TEXT(B65,"mmm")</f>
        <v>Jun</v>
      </c>
      <c r="D65" s="23" t="str">
        <f>_xlfn.XLOOKUP(Table1[[#This Row],[Category]],Table2[Type],Table2[Cash Flow])</f>
        <v>Expense</v>
      </c>
      <c r="E65" s="23" t="s">
        <v>31</v>
      </c>
      <c r="F65" s="22">
        <v>1000</v>
      </c>
      <c r="G65" s="22">
        <v>1000</v>
      </c>
      <c r="H65" s="22" t="str">
        <f>_xlfn.XLOOKUP(Table1[[#This Row],[Category]],Table2[Type],Table2[Sub Type])</f>
        <v>Financial Priority</v>
      </c>
      <c r="I65" s="23" t="s">
        <v>76</v>
      </c>
    </row>
    <row r="66" spans="2:18">
      <c r="B66" s="8">
        <v>46188</v>
      </c>
      <c r="C66" s="2" t="str">
        <f t="shared" si="4"/>
        <v>Jun</v>
      </c>
      <c r="D66" t="str">
        <f>_xlfn.XLOOKUP(Table1[[#This Row],[Category]],Table2[Type],Table2[Cash Flow])</f>
        <v>Expense</v>
      </c>
      <c r="E66" t="s">
        <v>5</v>
      </c>
      <c r="F66" s="3">
        <v>500</v>
      </c>
      <c r="G66" s="3">
        <v>500</v>
      </c>
      <c r="H66" s="3" t="str">
        <f>_xlfn.XLOOKUP(Table1[[#This Row],[Category]],Table2[Type],Table2[Sub Type])</f>
        <v>Needs</v>
      </c>
      <c r="I66" t="s">
        <v>47</v>
      </c>
    </row>
    <row r="67" spans="2:18">
      <c r="B67" s="8">
        <v>46188</v>
      </c>
      <c r="C67" s="2" t="str">
        <f t="shared" si="4"/>
        <v>Jun</v>
      </c>
      <c r="D67" t="str">
        <f>_xlfn.XLOOKUP(Table1[[#This Row],[Category]],Table2[Type],Table2[Cash Flow])</f>
        <v>Expense</v>
      </c>
      <c r="E67" t="s">
        <v>14</v>
      </c>
      <c r="F67" s="3">
        <v>1000</v>
      </c>
      <c r="G67" s="3">
        <v>1000</v>
      </c>
      <c r="H67" s="3" t="str">
        <f>_xlfn.XLOOKUP(Table1[[#This Row],[Category]],Table2[Type],Table2[Sub Type])</f>
        <v>Needs</v>
      </c>
      <c r="I67" t="s">
        <v>14</v>
      </c>
    </row>
    <row r="68" spans="2:18">
      <c r="B68" s="20">
        <v>46188</v>
      </c>
      <c r="C68" s="21" t="str">
        <f t="shared" si="4"/>
        <v>Jun</v>
      </c>
      <c r="D68" s="23" t="str">
        <f>_xlfn.XLOOKUP(Table1[[#This Row],[Category]],Table2[Type],Table2[Cash Flow])</f>
        <v>Expense</v>
      </c>
      <c r="E68" s="23" t="s">
        <v>31</v>
      </c>
      <c r="F68" s="22">
        <v>2332</v>
      </c>
      <c r="G68" s="22">
        <v>2332</v>
      </c>
      <c r="H68" s="22" t="str">
        <f>_xlfn.XLOOKUP(Table1[[#This Row],[Category]],Table2[Type],Table2[Sub Type])</f>
        <v>Financial Priority</v>
      </c>
      <c r="I68" s="23" t="s">
        <v>74</v>
      </c>
      <c r="N68" s="36"/>
      <c r="P68" s="14"/>
      <c r="R68" s="14"/>
    </row>
    <row r="69" spans="2:18">
      <c r="B69" s="8">
        <v>46188</v>
      </c>
      <c r="C69" s="2" t="str">
        <f t="shared" si="4"/>
        <v>Jun</v>
      </c>
      <c r="D69" t="str">
        <f>_xlfn.XLOOKUP(Table1[[#This Row],[Category]],Table2[Type],Table2[Cash Flow])</f>
        <v>Expense</v>
      </c>
      <c r="E69" t="s">
        <v>31</v>
      </c>
      <c r="F69" s="3">
        <v>2000</v>
      </c>
      <c r="G69" s="3">
        <v>2000</v>
      </c>
      <c r="H69" s="3" t="str">
        <f>_xlfn.XLOOKUP(Table1[[#This Row],[Category]],Table2[Type],Table2[Sub Type])</f>
        <v>Financial Priority</v>
      </c>
      <c r="I69" t="s">
        <v>42</v>
      </c>
    </row>
    <row r="70" spans="2:18">
      <c r="B70" s="20">
        <v>46188</v>
      </c>
      <c r="C70" s="21" t="str">
        <f t="shared" si="4"/>
        <v>Jun</v>
      </c>
      <c r="D70" s="23" t="str">
        <f>_xlfn.XLOOKUP(Table1[[#This Row],[Category]],Table2[Type],Table2[Cash Flow])</f>
        <v>Expense</v>
      </c>
      <c r="E70" s="23" t="s">
        <v>21</v>
      </c>
      <c r="F70" s="22">
        <v>2000</v>
      </c>
      <c r="G70" s="22">
        <v>2000</v>
      </c>
      <c r="H70" s="22" t="str">
        <f>_xlfn.XLOOKUP(Table1[[#This Row],[Category]],Table2[Type],Table2[Sub Type])</f>
        <v>Wants</v>
      </c>
      <c r="I70" s="23" t="s">
        <v>52</v>
      </c>
    </row>
    <row r="71" spans="2:18">
      <c r="B71" s="9">
        <v>46203</v>
      </c>
      <c r="C71" s="10" t="str">
        <f t="shared" si="3"/>
        <v>Jun</v>
      </c>
      <c r="D71" s="12" t="str">
        <f>_xlfn.XLOOKUP(Table1[[#This Row],[Category]],Table2[Type],Table2[Cash Flow])</f>
        <v>Income</v>
      </c>
      <c r="E71" s="12" t="s">
        <v>25</v>
      </c>
      <c r="F71" s="11">
        <v>16500</v>
      </c>
      <c r="G71" s="11"/>
      <c r="H71" s="11" t="str">
        <f>_xlfn.XLOOKUP(Table1[[#This Row],[Category]],Table2[Type],Table2[Sub Type])</f>
        <v>Salary</v>
      </c>
      <c r="I71" s="12"/>
    </row>
    <row r="72" spans="2:18">
      <c r="B72" s="9">
        <v>46203</v>
      </c>
      <c r="C72" s="10" t="str">
        <f t="shared" si="3"/>
        <v>Jun</v>
      </c>
      <c r="D72" s="12" t="str">
        <f>_xlfn.XLOOKUP(Table1[[#This Row],[Category]],Table2[Type],Table2[Cash Flow])</f>
        <v>Income</v>
      </c>
      <c r="E72" s="12" t="s">
        <v>26</v>
      </c>
      <c r="F72" s="11">
        <v>8000</v>
      </c>
      <c r="G72" s="11"/>
      <c r="H72" s="11" t="str">
        <f>_xlfn.XLOOKUP(Table1[[#This Row],[Category]],Table2[Type],Table2[Sub Type])</f>
        <v>Salary</v>
      </c>
      <c r="I72" s="12"/>
    </row>
    <row r="73" spans="2:18">
      <c r="B73" s="20">
        <v>46203</v>
      </c>
      <c r="C73" s="21" t="str">
        <f>TEXT(B73,"mmm")</f>
        <v>Jun</v>
      </c>
      <c r="D73" s="23" t="str">
        <f>_xlfn.XLOOKUP(Table1[[#This Row],[Category]],Table2[Type],Table2[Cash Flow])</f>
        <v>Expense</v>
      </c>
      <c r="E73" s="23" t="s">
        <v>13</v>
      </c>
      <c r="F73" s="22">
        <v>7000</v>
      </c>
      <c r="G73" s="22">
        <v>7000</v>
      </c>
      <c r="H73" s="22" t="str">
        <f>_xlfn.XLOOKUP(Table1[[#This Row],[Category]],Table2[Type],Table2[Sub Type])</f>
        <v>Financial Priority</v>
      </c>
      <c r="I73" s="23" t="s">
        <v>49</v>
      </c>
      <c r="K73" s="14"/>
    </row>
    <row r="74" spans="2:18">
      <c r="B74" s="8">
        <v>46203</v>
      </c>
      <c r="C74" s="2" t="str">
        <f t="shared" si="3"/>
        <v>Jun</v>
      </c>
      <c r="D74" t="str">
        <f>_xlfn.XLOOKUP(Table1[[#This Row],[Category]],Table2[Type],Table2[Cash Flow])</f>
        <v>Expense</v>
      </c>
      <c r="E74" t="s">
        <v>31</v>
      </c>
      <c r="F74" s="3">
        <v>3460</v>
      </c>
      <c r="G74" s="3">
        <v>3460</v>
      </c>
      <c r="H74" s="3" t="str">
        <f>_xlfn.XLOOKUP(Table1[[#This Row],[Category]],Table2[Type],Table2[Sub Type])</f>
        <v>Financial Priority</v>
      </c>
      <c r="I74" t="s">
        <v>40</v>
      </c>
    </row>
    <row r="75" spans="2:18">
      <c r="B75" s="8">
        <v>46203</v>
      </c>
      <c r="C75" s="2" t="str">
        <f t="shared" si="3"/>
        <v>Jun</v>
      </c>
      <c r="D75" t="str">
        <f>_xlfn.XLOOKUP(Table1[[#This Row],[Category]],Table2[Type],Table2[Cash Flow])</f>
        <v>Expense</v>
      </c>
      <c r="E75" t="s">
        <v>5</v>
      </c>
      <c r="F75" s="3">
        <v>2500</v>
      </c>
      <c r="G75" s="3">
        <v>2500</v>
      </c>
      <c r="H75" s="3" t="str">
        <f>_xlfn.XLOOKUP(Table1[[#This Row],[Category]],Table2[Type],Table2[Sub Type])</f>
        <v>Needs</v>
      </c>
      <c r="I75" t="s">
        <v>37</v>
      </c>
    </row>
    <row r="76" spans="2:18">
      <c r="B76" s="8">
        <v>46203</v>
      </c>
      <c r="C76" s="2" t="str">
        <f t="shared" ref="C76:C81" si="5">TEXT(B76,"mmm")</f>
        <v>Jun</v>
      </c>
      <c r="D76" t="str">
        <f>_xlfn.XLOOKUP(Table1[[#This Row],[Category]],Table2[Type],Table2[Cash Flow])</f>
        <v>Expense</v>
      </c>
      <c r="E76" t="s">
        <v>5</v>
      </c>
      <c r="F76" s="3">
        <v>1500</v>
      </c>
      <c r="G76" s="3">
        <v>1500</v>
      </c>
      <c r="H76" s="3" t="str">
        <f>_xlfn.XLOOKUP(Table1[[#This Row],[Category]],Table2[Type],Table2[Sub Type])</f>
        <v>Needs</v>
      </c>
      <c r="I76" t="s">
        <v>28</v>
      </c>
      <c r="L76" s="3"/>
    </row>
    <row r="77" spans="2:18">
      <c r="B77" s="8">
        <v>46203</v>
      </c>
      <c r="C77" s="2" t="str">
        <f t="shared" si="5"/>
        <v>Jun</v>
      </c>
      <c r="D77" t="str">
        <f>_xlfn.XLOOKUP(Table1[[#This Row],[Category]],Table2[Type],Table2[Cash Flow])</f>
        <v>Expense</v>
      </c>
      <c r="E77" t="s">
        <v>5</v>
      </c>
      <c r="F77" s="3">
        <v>500</v>
      </c>
      <c r="G77" s="3">
        <v>500</v>
      </c>
      <c r="H77" s="3" t="str">
        <f>_xlfn.XLOOKUP(Table1[[#This Row],[Category]],Table2[Type],Table2[Sub Type])</f>
        <v>Needs</v>
      </c>
      <c r="I77" t="s">
        <v>38</v>
      </c>
      <c r="L77" s="3"/>
    </row>
    <row r="78" spans="2:18">
      <c r="B78" s="8">
        <v>46203</v>
      </c>
      <c r="C78" s="2" t="str">
        <f t="shared" si="5"/>
        <v>Jun</v>
      </c>
      <c r="D78" t="str">
        <f>_xlfn.XLOOKUP(Table1[[#This Row],[Category]],Table2[Type],Table2[Cash Flow])</f>
        <v>Expense</v>
      </c>
      <c r="E78" t="s">
        <v>4</v>
      </c>
      <c r="F78" s="3">
        <v>500</v>
      </c>
      <c r="G78" s="3">
        <v>500</v>
      </c>
      <c r="H78" s="3" t="str">
        <f>_xlfn.XLOOKUP(Table1[[#This Row],[Category]],Table2[Type],Table2[Sub Type])</f>
        <v>Financial Priority</v>
      </c>
      <c r="I78" t="s">
        <v>30</v>
      </c>
    </row>
    <row r="79" spans="2:18">
      <c r="B79" s="8">
        <v>46203</v>
      </c>
      <c r="C79" s="2" t="str">
        <f t="shared" si="5"/>
        <v>Jun</v>
      </c>
      <c r="D79" t="str">
        <f>_xlfn.XLOOKUP(Table1[[#This Row],[Category]],Table2[Type],Table2[Cash Flow])</f>
        <v>Expense</v>
      </c>
      <c r="E79" t="s">
        <v>15</v>
      </c>
      <c r="F79" s="3">
        <v>500</v>
      </c>
      <c r="G79" s="3">
        <v>500</v>
      </c>
      <c r="H79" s="3" t="str">
        <f>_xlfn.XLOOKUP(Table1[[#This Row],[Category]],Table2[Type],Table2[Sub Type])</f>
        <v>Needs</v>
      </c>
      <c r="I79" t="s">
        <v>53</v>
      </c>
    </row>
    <row r="80" spans="2:18">
      <c r="B80" s="20">
        <v>46203</v>
      </c>
      <c r="C80" s="21" t="str">
        <f>TEXT(B80,"mmm")</f>
        <v>Jun</v>
      </c>
      <c r="D80" s="23" t="str">
        <f>_xlfn.XLOOKUP(Table1[[#This Row],[Category]],Table2[Type],Table2[Cash Flow])</f>
        <v>Expense</v>
      </c>
      <c r="E80" s="23" t="s">
        <v>31</v>
      </c>
      <c r="F80" s="22">
        <v>2000</v>
      </c>
      <c r="G80" s="22">
        <v>2000</v>
      </c>
      <c r="H80" s="22" t="str">
        <f>_xlfn.XLOOKUP(Table1[[#This Row],[Category]],Table2[Type],Table2[Sub Type])</f>
        <v>Financial Priority</v>
      </c>
      <c r="I80" s="23" t="s">
        <v>58</v>
      </c>
    </row>
    <row r="81" spans="2:12">
      <c r="B81" s="8">
        <v>46203</v>
      </c>
      <c r="C81" s="2" t="str">
        <f t="shared" si="5"/>
        <v>Jun</v>
      </c>
      <c r="D81" t="str">
        <f>_xlfn.XLOOKUP(Table1[[#This Row],[Category]],Table2[Type],Table2[Cash Flow])</f>
        <v>Expense</v>
      </c>
      <c r="E81" t="s">
        <v>14</v>
      </c>
      <c r="F81" s="3">
        <v>1000</v>
      </c>
      <c r="G81" s="3">
        <v>1000</v>
      </c>
      <c r="H81" s="3" t="str">
        <f>_xlfn.XLOOKUP(Table1[[#This Row],[Category]],Table2[Type],Table2[Sub Type])</f>
        <v>Needs</v>
      </c>
      <c r="I81" t="s">
        <v>14</v>
      </c>
    </row>
    <row r="82" spans="2:12">
      <c r="B82" s="9">
        <v>46218</v>
      </c>
      <c r="C82" s="10" t="str">
        <f t="shared" ref="C82:C98" si="6">TEXT(B82,"mmm")</f>
        <v>Jul</v>
      </c>
      <c r="D82" s="12" t="str">
        <f>_xlfn.XLOOKUP(Table1[[#This Row],[Category]],Table2[Type],Table2[Cash Flow])</f>
        <v>Income</v>
      </c>
      <c r="E82" s="12" t="s">
        <v>25</v>
      </c>
      <c r="F82" s="11">
        <v>16500</v>
      </c>
      <c r="G82" s="11"/>
      <c r="H82" s="11" t="str">
        <f>_xlfn.XLOOKUP(Table1[[#This Row],[Category]],Table2[Type],Table2[Sub Type])</f>
        <v>Salary</v>
      </c>
      <c r="I82" s="12"/>
    </row>
    <row r="83" spans="2:12">
      <c r="B83" s="9">
        <v>46218</v>
      </c>
      <c r="C83" s="10" t="str">
        <f t="shared" si="6"/>
        <v>Jul</v>
      </c>
      <c r="D83" s="12" t="str">
        <f>_xlfn.XLOOKUP(Table1[[#This Row],[Category]],Table2[Type],Table2[Cash Flow])</f>
        <v>Income</v>
      </c>
      <c r="E83" s="12" t="s">
        <v>26</v>
      </c>
      <c r="F83" s="11">
        <v>8000</v>
      </c>
      <c r="G83" s="11"/>
      <c r="H83" s="11" t="str">
        <f>_xlfn.XLOOKUP(Table1[[#This Row],[Category]],Table2[Type],Table2[Sub Type])</f>
        <v>Salary</v>
      </c>
      <c r="I83" s="12"/>
    </row>
    <row r="84" spans="2:12">
      <c r="B84" s="8">
        <v>46218</v>
      </c>
      <c r="C84" s="2" t="str">
        <f t="shared" si="6"/>
        <v>Jul</v>
      </c>
      <c r="D84" t="str">
        <f>_xlfn.XLOOKUP(Table1[[#This Row],[Category]],Table2[Type],Table2[Cash Flow])</f>
        <v>Expense</v>
      </c>
      <c r="E84" t="s">
        <v>9</v>
      </c>
      <c r="F84" s="3">
        <v>9000</v>
      </c>
      <c r="G84" s="3">
        <v>9000</v>
      </c>
      <c r="H84" s="3" t="str">
        <f>_xlfn.XLOOKUP(Table1[[#This Row],[Category]],Table2[Type],Table2[Sub Type])</f>
        <v>Financial Priority</v>
      </c>
      <c r="I84" t="s">
        <v>46</v>
      </c>
      <c r="K84" s="14"/>
    </row>
    <row r="85" spans="2:12">
      <c r="B85" s="8">
        <v>46218</v>
      </c>
      <c r="C85" s="2" t="str">
        <f t="shared" si="6"/>
        <v>Jul</v>
      </c>
      <c r="D85" t="str">
        <f>_xlfn.XLOOKUP(Table1[[#This Row],[Category]],Table2[Type],Table2[Cash Flow])</f>
        <v>Expense</v>
      </c>
      <c r="E85" t="s">
        <v>4</v>
      </c>
      <c r="F85" s="3">
        <v>899</v>
      </c>
      <c r="G85" s="3">
        <v>899</v>
      </c>
      <c r="H85" s="3" t="str">
        <f>_xlfn.XLOOKUP(Table1[[#This Row],[Category]],Table2[Type],Table2[Sub Type])</f>
        <v>Financial Priority</v>
      </c>
      <c r="I85" t="s">
        <v>27</v>
      </c>
    </row>
    <row r="86" spans="2:12">
      <c r="B86" s="8">
        <v>46218</v>
      </c>
      <c r="C86" s="2" t="str">
        <f t="shared" si="6"/>
        <v>Jul</v>
      </c>
      <c r="D86" t="str">
        <f>_xlfn.XLOOKUP(Table1[[#This Row],[Category]],Table2[Type],Table2[Cash Flow])</f>
        <v>Expense</v>
      </c>
      <c r="E86" t="s">
        <v>5</v>
      </c>
      <c r="F86" s="3">
        <v>1800</v>
      </c>
      <c r="G86" s="3">
        <v>1800</v>
      </c>
      <c r="H86" s="3" t="str">
        <f>_xlfn.XLOOKUP(Table1[[#This Row],[Category]],Table2[Type],Table2[Sub Type])</f>
        <v>Needs</v>
      </c>
      <c r="I86" t="s">
        <v>28</v>
      </c>
    </row>
    <row r="87" spans="2:12">
      <c r="B87" s="8">
        <v>46218</v>
      </c>
      <c r="C87" s="2" t="str">
        <f t="shared" si="6"/>
        <v>Jul</v>
      </c>
      <c r="D87" t="str">
        <f>_xlfn.XLOOKUP(Table1[[#This Row],[Category]],Table2[Type],Table2[Cash Flow])</f>
        <v>Expense</v>
      </c>
      <c r="E87" t="s">
        <v>4</v>
      </c>
      <c r="F87" s="3">
        <v>2000</v>
      </c>
      <c r="G87" s="3">
        <v>2000</v>
      </c>
      <c r="H87" s="3" t="str">
        <f>_xlfn.XLOOKUP(Table1[[#This Row],[Category]],Table2[Type],Table2[Sub Type])</f>
        <v>Financial Priority</v>
      </c>
      <c r="I87" t="s">
        <v>39</v>
      </c>
      <c r="L87" s="3"/>
    </row>
    <row r="88" spans="2:12">
      <c r="B88" s="8">
        <v>46218</v>
      </c>
      <c r="C88" s="2" t="str">
        <f t="shared" si="6"/>
        <v>Jul</v>
      </c>
      <c r="D88" t="str">
        <f>_xlfn.XLOOKUP(Table1[[#This Row],[Category]],Table2[Type],Table2[Cash Flow])</f>
        <v>Expense</v>
      </c>
      <c r="E88" t="s">
        <v>15</v>
      </c>
      <c r="F88" s="3">
        <v>500</v>
      </c>
      <c r="G88" s="3">
        <v>500</v>
      </c>
      <c r="H88" s="3" t="str">
        <f>_xlfn.XLOOKUP(Table1[[#This Row],[Category]],Table2[Type],Table2[Sub Type])</f>
        <v>Needs</v>
      </c>
      <c r="I88" t="s">
        <v>50</v>
      </c>
      <c r="L88" s="3"/>
    </row>
    <row r="89" spans="2:12">
      <c r="B89" s="8">
        <v>46218</v>
      </c>
      <c r="C89" s="2" t="str">
        <f>TEXT(B89,"mmm")</f>
        <v>Jul</v>
      </c>
      <c r="D89" t="str">
        <f>_xlfn.XLOOKUP(Table1[[#This Row],[Category]],Table2[Type],Table2[Cash Flow])</f>
        <v>Expense</v>
      </c>
      <c r="E89" t="s">
        <v>5</v>
      </c>
      <c r="F89" s="3">
        <v>500</v>
      </c>
      <c r="G89" s="3">
        <v>500</v>
      </c>
      <c r="H89" s="3" t="str">
        <f>_xlfn.XLOOKUP(Table1[[#This Row],[Category]],Table2[Type],Table2[Sub Type])</f>
        <v>Needs</v>
      </c>
      <c r="I89" t="s">
        <v>47</v>
      </c>
    </row>
    <row r="90" spans="2:12">
      <c r="B90" s="8">
        <v>46218</v>
      </c>
      <c r="C90" s="2" t="str">
        <f t="shared" si="6"/>
        <v>Jul</v>
      </c>
      <c r="D90" t="str">
        <f>_xlfn.XLOOKUP(Table1[[#This Row],[Category]],Table2[Type],Table2[Cash Flow])</f>
        <v>Expense</v>
      </c>
      <c r="E90" t="s">
        <v>5</v>
      </c>
      <c r="F90" s="3">
        <v>2500</v>
      </c>
      <c r="G90" s="3">
        <v>2500</v>
      </c>
      <c r="H90" s="3" t="str">
        <f>_xlfn.XLOOKUP(Table1[[#This Row],[Category]],Table2[Type],Table2[Sub Type])</f>
        <v>Needs</v>
      </c>
      <c r="I90" t="s">
        <v>33</v>
      </c>
    </row>
    <row r="91" spans="2:12">
      <c r="B91" s="20">
        <v>46218</v>
      </c>
      <c r="C91" s="21" t="str">
        <f>TEXT(B91,"mmm")</f>
        <v>Jul</v>
      </c>
      <c r="D91" s="23" t="str">
        <f>_xlfn.XLOOKUP(Table1[[#This Row],[Category]],Table2[Type],Table2[Cash Flow])</f>
        <v>Expense</v>
      </c>
      <c r="E91" s="23" t="s">
        <v>31</v>
      </c>
      <c r="F91" s="22">
        <v>2000</v>
      </c>
      <c r="G91" s="22">
        <v>2000</v>
      </c>
      <c r="H91" s="22" t="str">
        <f>_xlfn.XLOOKUP(Table1[[#This Row],[Category]],Table2[Type],Table2[Sub Type])</f>
        <v>Financial Priority</v>
      </c>
      <c r="I91" s="23" t="s">
        <v>58</v>
      </c>
    </row>
    <row r="92" spans="2:12">
      <c r="B92" s="8">
        <v>46218</v>
      </c>
      <c r="C92" s="2" t="str">
        <f>TEXT(B92,"mmm")</f>
        <v>Jul</v>
      </c>
      <c r="D92" t="str">
        <f>_xlfn.XLOOKUP(Table1[[#This Row],[Category]],Table2[Type],Table2[Cash Flow])</f>
        <v>Expense</v>
      </c>
      <c r="E92" t="s">
        <v>52</v>
      </c>
      <c r="F92" s="3">
        <v>1500</v>
      </c>
      <c r="G92" s="3">
        <v>1500</v>
      </c>
      <c r="H92" s="3" t="str">
        <f>_xlfn.XLOOKUP(Table1[[#This Row],[Category]],Table2[Type],Table2[Sub Type])</f>
        <v>Needs</v>
      </c>
      <c r="I92" t="s">
        <v>52</v>
      </c>
    </row>
    <row r="93" spans="2:12">
      <c r="B93" s="20">
        <v>46218</v>
      </c>
      <c r="C93" s="21" t="str">
        <f>TEXT(B93,"mmm")</f>
        <v>Jul</v>
      </c>
      <c r="D93" s="23" t="str">
        <f>_xlfn.XLOOKUP(Table1[[#This Row],[Category]],Table2[Type],Table2[Cash Flow])</f>
        <v>Expense</v>
      </c>
      <c r="E93" s="23" t="s">
        <v>31</v>
      </c>
      <c r="F93" s="22">
        <v>1000</v>
      </c>
      <c r="G93" s="22">
        <v>1000</v>
      </c>
      <c r="H93" s="22" t="str">
        <f>_xlfn.XLOOKUP(Table1[[#This Row],[Category]],Table2[Type],Table2[Sub Type])</f>
        <v>Financial Priority</v>
      </c>
      <c r="I93" s="23" t="s">
        <v>56</v>
      </c>
    </row>
    <row r="94" spans="2:12">
      <c r="B94" s="9">
        <v>46234</v>
      </c>
      <c r="C94" s="10" t="str">
        <f t="shared" si="6"/>
        <v>Jul</v>
      </c>
      <c r="D94" s="12" t="str">
        <f>_xlfn.XLOOKUP(Table1[[#This Row],[Category]],Table2[Type],Table2[Cash Flow])</f>
        <v>Income</v>
      </c>
      <c r="E94" s="12" t="s">
        <v>25</v>
      </c>
      <c r="F94" s="11">
        <v>16500</v>
      </c>
      <c r="G94" s="11"/>
      <c r="H94" s="11" t="str">
        <f>_xlfn.XLOOKUP(Table1[[#This Row],[Category]],Table2[Type],Table2[Sub Type])</f>
        <v>Salary</v>
      </c>
      <c r="I94" s="12"/>
    </row>
    <row r="95" spans="2:12">
      <c r="B95" s="9">
        <v>46234</v>
      </c>
      <c r="C95" s="10" t="str">
        <f t="shared" si="6"/>
        <v>Jul</v>
      </c>
      <c r="D95" s="12" t="str">
        <f>_xlfn.XLOOKUP(Table1[[#This Row],[Category]],Table2[Type],Table2[Cash Flow])</f>
        <v>Income</v>
      </c>
      <c r="E95" s="12" t="s">
        <v>26</v>
      </c>
      <c r="F95" s="11">
        <v>8000</v>
      </c>
      <c r="G95" s="11"/>
      <c r="H95" s="11" t="str">
        <f>_xlfn.XLOOKUP(Table1[[#This Row],[Category]],Table2[Type],Table2[Sub Type])</f>
        <v>Salary</v>
      </c>
      <c r="I95" s="12"/>
      <c r="K95" s="14"/>
    </row>
    <row r="96" spans="2:12">
      <c r="B96" s="8">
        <v>46234</v>
      </c>
      <c r="C96" s="2" t="str">
        <f t="shared" si="6"/>
        <v>Jul</v>
      </c>
      <c r="D96" t="str">
        <f>_xlfn.XLOOKUP(Table1[[#This Row],[Category]],Table2[Type],Table2[Cash Flow])</f>
        <v>Expense</v>
      </c>
      <c r="E96" t="s">
        <v>13</v>
      </c>
      <c r="F96" s="3">
        <v>7000</v>
      </c>
      <c r="G96" s="3">
        <v>7000</v>
      </c>
      <c r="H96" s="3" t="str">
        <f>_xlfn.XLOOKUP(Table1[[#This Row],[Category]],Table2[Type],Table2[Sub Type])</f>
        <v>Financial Priority</v>
      </c>
      <c r="I96" t="s">
        <v>59</v>
      </c>
    </row>
    <row r="97" spans="2:12">
      <c r="B97" s="8">
        <v>46234</v>
      </c>
      <c r="C97" s="2" t="str">
        <f t="shared" si="6"/>
        <v>Jul</v>
      </c>
      <c r="D97" t="str">
        <f>_xlfn.XLOOKUP(Table1[[#This Row],[Category]],Table2[Type],Table2[Cash Flow])</f>
        <v>Expense</v>
      </c>
      <c r="E97" t="s">
        <v>31</v>
      </c>
      <c r="F97" s="3">
        <v>3460</v>
      </c>
      <c r="G97" s="3">
        <v>3460</v>
      </c>
      <c r="H97" s="3" t="str">
        <f>_xlfn.XLOOKUP(Table1[[#This Row],[Category]],Table2[Type],Table2[Sub Type])</f>
        <v>Financial Priority</v>
      </c>
      <c r="I97" t="s">
        <v>40</v>
      </c>
    </row>
    <row r="98" spans="2:12">
      <c r="B98" s="8">
        <v>46234</v>
      </c>
      <c r="C98" s="2" t="str">
        <f t="shared" si="6"/>
        <v>Jul</v>
      </c>
      <c r="D98" t="str">
        <f>_xlfn.XLOOKUP(Table1[[#This Row],[Category]],Table2[Type],Table2[Cash Flow])</f>
        <v>Expense</v>
      </c>
      <c r="E98" t="s">
        <v>5</v>
      </c>
      <c r="F98" s="3">
        <v>2500</v>
      </c>
      <c r="G98" s="3">
        <v>2500</v>
      </c>
      <c r="H98" s="3" t="str">
        <f>_xlfn.XLOOKUP(Table1[[#This Row],[Category]],Table2[Type],Table2[Sub Type])</f>
        <v>Needs</v>
      </c>
      <c r="I98" t="s">
        <v>37</v>
      </c>
      <c r="L98" s="3"/>
    </row>
    <row r="99" spans="2:12">
      <c r="B99" s="8">
        <v>46234</v>
      </c>
      <c r="C99" s="2" t="str">
        <f t="shared" ref="C99:C104" si="7">TEXT(B99,"mmm")</f>
        <v>Jul</v>
      </c>
      <c r="D99" t="str">
        <f>_xlfn.XLOOKUP(Table1[[#This Row],[Category]],Table2[Type],Table2[Cash Flow])</f>
        <v>Expense</v>
      </c>
      <c r="E99" t="s">
        <v>5</v>
      </c>
      <c r="F99" s="3">
        <v>1800</v>
      </c>
      <c r="G99" s="3">
        <v>1800</v>
      </c>
      <c r="H99" s="3" t="str">
        <f>_xlfn.XLOOKUP(Table1[[#This Row],[Category]],Table2[Type],Table2[Sub Type])</f>
        <v>Needs</v>
      </c>
      <c r="I99" t="s">
        <v>28</v>
      </c>
      <c r="L99" s="3"/>
    </row>
    <row r="100" spans="2:12">
      <c r="B100" s="8">
        <v>46234</v>
      </c>
      <c r="C100" s="2" t="str">
        <f t="shared" si="7"/>
        <v>Jul</v>
      </c>
      <c r="D100" t="str">
        <f>_xlfn.XLOOKUP(Table1[[#This Row],[Category]],Table2[Type],Table2[Cash Flow])</f>
        <v>Expense</v>
      </c>
      <c r="E100" t="s">
        <v>5</v>
      </c>
      <c r="F100" s="3">
        <v>500</v>
      </c>
      <c r="G100" s="3">
        <v>500</v>
      </c>
      <c r="H100" s="3" t="str">
        <f>_xlfn.XLOOKUP(Table1[[#This Row],[Category]],Table2[Type],Table2[Sub Type])</f>
        <v>Needs</v>
      </c>
      <c r="I100" t="s">
        <v>38</v>
      </c>
    </row>
    <row r="101" spans="2:12">
      <c r="B101" s="8">
        <v>46234</v>
      </c>
      <c r="C101" s="2" t="str">
        <f t="shared" si="7"/>
        <v>Jul</v>
      </c>
      <c r="D101" t="str">
        <f>_xlfn.XLOOKUP(Table1[[#This Row],[Category]],Table2[Type],Table2[Cash Flow])</f>
        <v>Expense</v>
      </c>
      <c r="E101" t="s">
        <v>4</v>
      </c>
      <c r="F101" s="3">
        <v>500</v>
      </c>
      <c r="G101" s="3">
        <v>500</v>
      </c>
      <c r="H101" s="3" t="str">
        <f>_xlfn.XLOOKUP(Table1[[#This Row],[Category]],Table2[Type],Table2[Sub Type])</f>
        <v>Financial Priority</v>
      </c>
      <c r="I101" t="s">
        <v>30</v>
      </c>
    </row>
    <row r="102" spans="2:12">
      <c r="B102" s="8">
        <v>46234</v>
      </c>
      <c r="C102" s="2" t="str">
        <f t="shared" si="7"/>
        <v>Jul</v>
      </c>
      <c r="D102" t="str">
        <f>_xlfn.XLOOKUP(Table1[[#This Row],[Category]],Table2[Type],Table2[Cash Flow])</f>
        <v>Expense</v>
      </c>
      <c r="E102" t="s">
        <v>15</v>
      </c>
      <c r="F102" s="3">
        <v>500</v>
      </c>
      <c r="G102" s="3">
        <v>500</v>
      </c>
      <c r="H102" s="3" t="str">
        <f>_xlfn.XLOOKUP(Table1[[#This Row],[Category]],Table2[Type],Table2[Sub Type])</f>
        <v>Needs</v>
      </c>
      <c r="I102" t="s">
        <v>53</v>
      </c>
    </row>
    <row r="103" spans="2:12">
      <c r="B103" s="20">
        <v>46234</v>
      </c>
      <c r="C103" s="21" t="str">
        <f>TEXT(B103,"mmm")</f>
        <v>Jul</v>
      </c>
      <c r="D103" s="23" t="str">
        <f>_xlfn.XLOOKUP(Table1[[#This Row],[Category]],Table2[Type],Table2[Cash Flow])</f>
        <v>Expense</v>
      </c>
      <c r="E103" s="23" t="s">
        <v>31</v>
      </c>
      <c r="F103" s="22">
        <v>1000</v>
      </c>
      <c r="G103" s="22">
        <v>1000</v>
      </c>
      <c r="H103" s="22" t="str">
        <f>_xlfn.XLOOKUP(Table1[[#This Row],[Category]],Table2[Type],Table2[Sub Type])</f>
        <v>Financial Priority</v>
      </c>
      <c r="I103" s="23" t="s">
        <v>56</v>
      </c>
    </row>
    <row r="104" spans="2:12">
      <c r="B104" s="8">
        <v>46234</v>
      </c>
      <c r="C104" s="2" t="str">
        <f t="shared" si="7"/>
        <v>Jul</v>
      </c>
      <c r="D104" t="str">
        <f>_xlfn.XLOOKUP(Table1[[#This Row],[Category]],Table2[Type],Table2[Cash Flow])</f>
        <v>Expense</v>
      </c>
      <c r="E104" t="s">
        <v>14</v>
      </c>
      <c r="F104" s="3">
        <v>1000</v>
      </c>
      <c r="G104" s="3">
        <v>1000</v>
      </c>
      <c r="H104" s="3" t="str">
        <f>_xlfn.XLOOKUP(Table1[[#This Row],[Category]],Table2[Type],Table2[Sub Type])</f>
        <v>Needs</v>
      </c>
      <c r="I104" t="s">
        <v>14</v>
      </c>
    </row>
    <row r="105" spans="2:12">
      <c r="B105" s="8">
        <v>46234</v>
      </c>
      <c r="C105" s="2" t="str">
        <f>TEXT(B105,"mmm")</f>
        <v>Jul</v>
      </c>
      <c r="D105" t="str">
        <f>_xlfn.XLOOKUP(Table1[[#This Row],[Category]],Table2[Type],Table2[Cash Flow])</f>
        <v>Expense</v>
      </c>
      <c r="E105" t="s">
        <v>57</v>
      </c>
      <c r="F105" s="3">
        <v>1000</v>
      </c>
      <c r="G105" s="3">
        <v>1000</v>
      </c>
      <c r="H105" s="3" t="str">
        <f>_xlfn.XLOOKUP(Table1[[#This Row],[Category]],Table2[Type],Table2[Sub Type])</f>
        <v>Financial Priority</v>
      </c>
      <c r="I105" t="s">
        <v>57</v>
      </c>
    </row>
    <row r="106" spans="2:12">
      <c r="B106" s="9">
        <v>46249</v>
      </c>
      <c r="C106" s="10" t="str">
        <f t="shared" ref="C106:C125" si="8">TEXT(B106,"mmm")</f>
        <v>Aug</v>
      </c>
      <c r="D106" s="12" t="str">
        <f>_xlfn.XLOOKUP(Table1[[#This Row],[Category]],Table2[Type],Table2[Cash Flow])</f>
        <v>Income</v>
      </c>
      <c r="E106" s="12" t="s">
        <v>25</v>
      </c>
      <c r="F106" s="11">
        <v>16500</v>
      </c>
      <c r="G106" s="11"/>
      <c r="H106" s="11" t="str">
        <f>_xlfn.XLOOKUP(Table1[[#This Row],[Category]],Table2[Type],Table2[Sub Type])</f>
        <v>Salary</v>
      </c>
      <c r="I106" s="12"/>
    </row>
    <row r="107" spans="2:12">
      <c r="B107" s="9">
        <v>46249</v>
      </c>
      <c r="C107" s="10" t="str">
        <f t="shared" si="8"/>
        <v>Aug</v>
      </c>
      <c r="D107" s="12" t="str">
        <f>_xlfn.XLOOKUP(Table1[[#This Row],[Category]],Table2[Type],Table2[Cash Flow])</f>
        <v>Income</v>
      </c>
      <c r="E107" s="12" t="s">
        <v>26</v>
      </c>
      <c r="F107" s="11">
        <v>8000</v>
      </c>
      <c r="G107" s="11"/>
      <c r="H107" s="11" t="str">
        <f>_xlfn.XLOOKUP(Table1[[#This Row],[Category]],Table2[Type],Table2[Sub Type])</f>
        <v>Salary</v>
      </c>
      <c r="I107" s="12"/>
      <c r="K107" s="14"/>
    </row>
    <row r="108" spans="2:12">
      <c r="B108" s="8">
        <v>46249</v>
      </c>
      <c r="C108" s="2" t="str">
        <f t="shared" si="8"/>
        <v>Aug</v>
      </c>
      <c r="D108" t="str">
        <f>_xlfn.XLOOKUP(Table1[[#This Row],[Category]],Table2[Type],Table2[Cash Flow])</f>
        <v>Expense</v>
      </c>
      <c r="E108" t="s">
        <v>9</v>
      </c>
      <c r="F108" s="3">
        <v>9000</v>
      </c>
      <c r="G108" s="3">
        <v>9000</v>
      </c>
      <c r="H108" s="3" t="str">
        <f>_xlfn.XLOOKUP(Table1[[#This Row],[Category]],Table2[Type],Table2[Sub Type])</f>
        <v>Financial Priority</v>
      </c>
      <c r="I108" t="s">
        <v>46</v>
      </c>
    </row>
    <row r="109" spans="2:12">
      <c r="B109" s="8">
        <v>46249</v>
      </c>
      <c r="C109" s="2" t="str">
        <f t="shared" si="8"/>
        <v>Aug</v>
      </c>
      <c r="D109" t="str">
        <f>_xlfn.XLOOKUP(Table1[[#This Row],[Category]],Table2[Type],Table2[Cash Flow])</f>
        <v>Expense</v>
      </c>
      <c r="E109" t="s">
        <v>4</v>
      </c>
      <c r="F109" s="3">
        <v>899</v>
      </c>
      <c r="G109" s="3">
        <v>899</v>
      </c>
      <c r="H109" s="3" t="str">
        <f>_xlfn.XLOOKUP(Table1[[#This Row],[Category]],Table2[Type],Table2[Sub Type])</f>
        <v>Financial Priority</v>
      </c>
      <c r="I109" t="s">
        <v>27</v>
      </c>
    </row>
    <row r="110" spans="2:12">
      <c r="B110" s="8">
        <v>46249</v>
      </c>
      <c r="C110" s="2" t="str">
        <f t="shared" si="8"/>
        <v>Aug</v>
      </c>
      <c r="D110" t="str">
        <f>_xlfn.XLOOKUP(Table1[[#This Row],[Category]],Table2[Type],Table2[Cash Flow])</f>
        <v>Expense</v>
      </c>
      <c r="E110" t="s">
        <v>5</v>
      </c>
      <c r="F110" s="3">
        <v>1800</v>
      </c>
      <c r="G110" s="3">
        <v>1800</v>
      </c>
      <c r="H110" s="3" t="str">
        <f>_xlfn.XLOOKUP(Table1[[#This Row],[Category]],Table2[Type],Table2[Sub Type])</f>
        <v>Needs</v>
      </c>
      <c r="I110" t="s">
        <v>28</v>
      </c>
      <c r="L110" s="3"/>
    </row>
    <row r="111" spans="2:12">
      <c r="B111" s="8">
        <v>46249</v>
      </c>
      <c r="C111" s="2" t="str">
        <f t="shared" si="8"/>
        <v>Aug</v>
      </c>
      <c r="D111" t="str">
        <f>_xlfn.XLOOKUP(Table1[[#This Row],[Category]],Table2[Type],Table2[Cash Flow])</f>
        <v>Expense</v>
      </c>
      <c r="E111" t="s">
        <v>4</v>
      </c>
      <c r="F111" s="3">
        <v>2000</v>
      </c>
      <c r="G111" s="3">
        <v>2000</v>
      </c>
      <c r="H111" s="3" t="str">
        <f>_xlfn.XLOOKUP(Table1[[#This Row],[Category]],Table2[Type],Table2[Sub Type])</f>
        <v>Financial Priority</v>
      </c>
      <c r="I111" t="s">
        <v>39</v>
      </c>
      <c r="L111" s="3"/>
    </row>
    <row r="112" spans="2:12">
      <c r="B112" s="8">
        <v>46249</v>
      </c>
      <c r="C112" s="2" t="str">
        <f t="shared" si="8"/>
        <v>Aug</v>
      </c>
      <c r="D112" t="str">
        <f>_xlfn.XLOOKUP(Table1[[#This Row],[Category]],Table2[Type],Table2[Cash Flow])</f>
        <v>Expense</v>
      </c>
      <c r="E112" t="s">
        <v>15</v>
      </c>
      <c r="F112" s="3">
        <v>500</v>
      </c>
      <c r="G112" s="3">
        <v>500</v>
      </c>
      <c r="H112" s="3" t="str">
        <f>_xlfn.XLOOKUP(Table1[[#This Row],[Category]],Table2[Type],Table2[Sub Type])</f>
        <v>Needs</v>
      </c>
      <c r="I112" t="s">
        <v>50</v>
      </c>
    </row>
    <row r="113" spans="2:12">
      <c r="B113" s="8">
        <v>46249</v>
      </c>
      <c r="C113" s="2" t="str">
        <f>TEXT(B113,"mmm")</f>
        <v>Aug</v>
      </c>
      <c r="D113" t="str">
        <f>_xlfn.XLOOKUP(Table1[[#This Row],[Category]],Table2[Type],Table2[Cash Flow])</f>
        <v>Expense</v>
      </c>
      <c r="E113" t="s">
        <v>5</v>
      </c>
      <c r="F113" s="3">
        <v>500</v>
      </c>
      <c r="G113" s="3">
        <v>500</v>
      </c>
      <c r="H113" s="3" t="str">
        <f>_xlfn.XLOOKUP(Table1[[#This Row],[Category]],Table2[Type],Table2[Sub Type])</f>
        <v>Needs</v>
      </c>
      <c r="I113" t="s">
        <v>47</v>
      </c>
    </row>
    <row r="114" spans="2:12">
      <c r="B114" s="8">
        <v>46249</v>
      </c>
      <c r="C114" s="2" t="str">
        <f t="shared" ref="C114" si="9">TEXT(B114,"mmm")</f>
        <v>Aug</v>
      </c>
      <c r="D114" t="str">
        <f>_xlfn.XLOOKUP(Table1[[#This Row],[Category]],Table2[Type],Table2[Cash Flow])</f>
        <v>Expense</v>
      </c>
      <c r="E114" t="s">
        <v>5</v>
      </c>
      <c r="F114" s="3">
        <v>2500</v>
      </c>
      <c r="G114" s="3">
        <v>2500</v>
      </c>
      <c r="H114" s="3" t="str">
        <f>_xlfn.XLOOKUP(Table1[[#This Row],[Category]],Table2[Type],Table2[Sub Type])</f>
        <v>Needs</v>
      </c>
      <c r="I114" t="s">
        <v>33</v>
      </c>
    </row>
    <row r="115" spans="2:12">
      <c r="B115" s="8">
        <v>46249</v>
      </c>
      <c r="C115" s="2" t="str">
        <f>TEXT(B115,"mmm")</f>
        <v>Aug</v>
      </c>
      <c r="D115" t="str">
        <f>_xlfn.XLOOKUP(Table1[[#This Row],[Category]],Table2[Type],Table2[Cash Flow])</f>
        <v>Expense</v>
      </c>
      <c r="E115" t="s">
        <v>52</v>
      </c>
      <c r="F115" s="3">
        <v>1000</v>
      </c>
      <c r="G115" s="3">
        <v>1000</v>
      </c>
      <c r="H115" s="3" t="str">
        <f>_xlfn.XLOOKUP(Table1[[#This Row],[Category]],Table2[Type],Table2[Sub Type])</f>
        <v>Needs</v>
      </c>
      <c r="I115" t="s">
        <v>52</v>
      </c>
    </row>
    <row r="116" spans="2:12">
      <c r="B116" s="20">
        <v>46249</v>
      </c>
      <c r="C116" s="21" t="str">
        <f>TEXT(B116,"mmm")</f>
        <v>Aug</v>
      </c>
      <c r="D116" s="23" t="str">
        <f>_xlfn.XLOOKUP(Table1[[#This Row],[Category]],Table2[Type],Table2[Cash Flow])</f>
        <v>Expense</v>
      </c>
      <c r="E116" s="23" t="s">
        <v>21</v>
      </c>
      <c r="F116" s="22">
        <v>4000</v>
      </c>
      <c r="G116" s="22">
        <v>4000</v>
      </c>
      <c r="H116" s="22" t="str">
        <f>_xlfn.XLOOKUP(Table1[[#This Row],[Category]],Table2[Type],Table2[Sub Type])</f>
        <v>Wants</v>
      </c>
      <c r="I116" s="23" t="s">
        <v>60</v>
      </c>
    </row>
    <row r="117" spans="2:12">
      <c r="B117" s="9">
        <v>46265</v>
      </c>
      <c r="C117" s="10" t="str">
        <f t="shared" si="8"/>
        <v>Aug</v>
      </c>
      <c r="D117" s="12" t="str">
        <f>_xlfn.XLOOKUP(Table1[[#This Row],[Category]],Table2[Type],Table2[Cash Flow])</f>
        <v>Income</v>
      </c>
      <c r="E117" s="12" t="s">
        <v>25</v>
      </c>
      <c r="F117" s="11">
        <v>16500</v>
      </c>
      <c r="G117" s="11"/>
      <c r="H117" s="11" t="str">
        <f>_xlfn.XLOOKUP(Table1[[#This Row],[Category]],Table2[Type],Table2[Sub Type])</f>
        <v>Salary</v>
      </c>
      <c r="I117" s="12"/>
    </row>
    <row r="118" spans="2:12">
      <c r="B118" s="9">
        <v>46265</v>
      </c>
      <c r="C118" s="10" t="str">
        <f t="shared" si="8"/>
        <v>Aug</v>
      </c>
      <c r="D118" s="12" t="str">
        <f>_xlfn.XLOOKUP(Table1[[#This Row],[Category]],Table2[Type],Table2[Cash Flow])</f>
        <v>Income</v>
      </c>
      <c r="E118" s="12" t="s">
        <v>26</v>
      </c>
      <c r="F118" s="11">
        <v>8000</v>
      </c>
      <c r="G118" s="11"/>
      <c r="H118" s="11" t="str">
        <f>_xlfn.XLOOKUP(Table1[[#This Row],[Category]],Table2[Type],Table2[Sub Type])</f>
        <v>Salary</v>
      </c>
      <c r="I118" s="12"/>
    </row>
    <row r="119" spans="2:12">
      <c r="B119" s="8">
        <v>46265</v>
      </c>
      <c r="C119" s="2" t="str">
        <f t="shared" si="8"/>
        <v>Aug</v>
      </c>
      <c r="D119" t="str">
        <f>_xlfn.XLOOKUP(Table1[[#This Row],[Category]],Table2[Type],Table2[Cash Flow])</f>
        <v>Expense</v>
      </c>
      <c r="E119" t="s">
        <v>13</v>
      </c>
      <c r="F119" s="3">
        <v>7000</v>
      </c>
      <c r="G119" s="3">
        <v>7000</v>
      </c>
      <c r="H119" s="3" t="str">
        <f>_xlfn.XLOOKUP(Table1[[#This Row],[Category]],Table2[Type],Table2[Sub Type])</f>
        <v>Financial Priority</v>
      </c>
      <c r="I119" t="s">
        <v>59</v>
      </c>
      <c r="K119" s="14"/>
    </row>
    <row r="120" spans="2:12">
      <c r="B120" s="8">
        <v>46265</v>
      </c>
      <c r="C120" s="2" t="str">
        <f t="shared" si="8"/>
        <v>Aug</v>
      </c>
      <c r="D120" t="str">
        <f>_xlfn.XLOOKUP(Table1[[#This Row],[Category]],Table2[Type],Table2[Cash Flow])</f>
        <v>Expense</v>
      </c>
      <c r="E120" t="s">
        <v>31</v>
      </c>
      <c r="F120" s="3">
        <v>3460</v>
      </c>
      <c r="G120" s="3">
        <v>3460</v>
      </c>
      <c r="H120" s="3" t="str">
        <f>_xlfn.XLOOKUP(Table1[[#This Row],[Category]],Table2[Type],Table2[Sub Type])</f>
        <v>Financial Priority</v>
      </c>
      <c r="I120" t="s">
        <v>40</v>
      </c>
    </row>
    <row r="121" spans="2:12">
      <c r="B121" s="8">
        <v>46265</v>
      </c>
      <c r="C121" s="2" t="str">
        <f t="shared" si="8"/>
        <v>Aug</v>
      </c>
      <c r="D121" t="str">
        <f>_xlfn.XLOOKUP(Table1[[#This Row],[Category]],Table2[Type],Table2[Cash Flow])</f>
        <v>Expense</v>
      </c>
      <c r="E121" t="s">
        <v>5</v>
      </c>
      <c r="F121" s="3">
        <v>2500</v>
      </c>
      <c r="G121" s="3">
        <v>2500</v>
      </c>
      <c r="H121" s="3" t="str">
        <f>_xlfn.XLOOKUP(Table1[[#This Row],[Category]],Table2[Type],Table2[Sub Type])</f>
        <v>Needs</v>
      </c>
      <c r="I121" t="s">
        <v>37</v>
      </c>
    </row>
    <row r="122" spans="2:12">
      <c r="B122" s="8">
        <v>46265</v>
      </c>
      <c r="C122" s="2" t="str">
        <f t="shared" si="8"/>
        <v>Aug</v>
      </c>
      <c r="D122" t="str">
        <f>_xlfn.XLOOKUP(Table1[[#This Row],[Category]],Table2[Type],Table2[Cash Flow])</f>
        <v>Expense</v>
      </c>
      <c r="E122" t="s">
        <v>5</v>
      </c>
      <c r="F122" s="3">
        <v>1800</v>
      </c>
      <c r="G122" s="3">
        <v>1800</v>
      </c>
      <c r="H122" s="3" t="str">
        <f>_xlfn.XLOOKUP(Table1[[#This Row],[Category]],Table2[Type],Table2[Sub Type])</f>
        <v>Needs</v>
      </c>
      <c r="I122" t="s">
        <v>28</v>
      </c>
      <c r="L122" s="3"/>
    </row>
    <row r="123" spans="2:12">
      <c r="B123" s="8">
        <v>46265</v>
      </c>
      <c r="C123" s="2" t="str">
        <f t="shared" si="8"/>
        <v>Aug</v>
      </c>
      <c r="D123" t="str">
        <f>_xlfn.XLOOKUP(Table1[[#This Row],[Category]],Table2[Type],Table2[Cash Flow])</f>
        <v>Expense</v>
      </c>
      <c r="E123" t="s">
        <v>5</v>
      </c>
      <c r="F123" s="3">
        <v>500</v>
      </c>
      <c r="G123" s="3">
        <v>500</v>
      </c>
      <c r="H123" s="3" t="str">
        <f>_xlfn.XLOOKUP(Table1[[#This Row],[Category]],Table2[Type],Table2[Sub Type])</f>
        <v>Needs</v>
      </c>
      <c r="I123" t="s">
        <v>38</v>
      </c>
      <c r="L123" s="3"/>
    </row>
    <row r="124" spans="2:12">
      <c r="B124" s="8">
        <v>46265</v>
      </c>
      <c r="C124" s="2" t="str">
        <f t="shared" si="8"/>
        <v>Aug</v>
      </c>
      <c r="D124" t="str">
        <f>_xlfn.XLOOKUP(Table1[[#This Row],[Category]],Table2[Type],Table2[Cash Flow])</f>
        <v>Expense</v>
      </c>
      <c r="E124" t="s">
        <v>4</v>
      </c>
      <c r="F124" s="3">
        <v>500</v>
      </c>
      <c r="G124" s="3">
        <v>500</v>
      </c>
      <c r="H124" s="3" t="str">
        <f>_xlfn.XLOOKUP(Table1[[#This Row],[Category]],Table2[Type],Table2[Sub Type])</f>
        <v>Financial Priority</v>
      </c>
      <c r="I124" t="s">
        <v>30</v>
      </c>
    </row>
    <row r="125" spans="2:12">
      <c r="B125" s="8">
        <v>46265</v>
      </c>
      <c r="C125" s="2" t="str">
        <f t="shared" si="8"/>
        <v>Aug</v>
      </c>
      <c r="D125" t="str">
        <f>_xlfn.XLOOKUP(Table1[[#This Row],[Category]],Table2[Type],Table2[Cash Flow])</f>
        <v>Expense</v>
      </c>
      <c r="E125" t="s">
        <v>15</v>
      </c>
      <c r="F125" s="3">
        <v>500</v>
      </c>
      <c r="G125" s="3">
        <v>500</v>
      </c>
      <c r="H125" s="3" t="str">
        <f>_xlfn.XLOOKUP(Table1[[#This Row],[Category]],Table2[Type],Table2[Sub Type])</f>
        <v>Needs</v>
      </c>
      <c r="I125" t="s">
        <v>53</v>
      </c>
    </row>
    <row r="126" spans="2:12">
      <c r="B126" s="8">
        <v>46265</v>
      </c>
      <c r="C126" s="2" t="str">
        <f t="shared" ref="C126" si="10">TEXT(B126,"mmm")</f>
        <v>Aug</v>
      </c>
      <c r="D126" t="str">
        <f>_xlfn.XLOOKUP(Table1[[#This Row],[Category]],Table2[Type],Table2[Cash Flow])</f>
        <v>Expense</v>
      </c>
      <c r="E126" t="s">
        <v>14</v>
      </c>
      <c r="F126" s="3">
        <v>1000</v>
      </c>
      <c r="G126" s="3">
        <v>1000</v>
      </c>
      <c r="H126" s="3" t="str">
        <f>_xlfn.XLOOKUP(Table1[[#This Row],[Category]],Table2[Type],Table2[Sub Type])</f>
        <v>Needs</v>
      </c>
      <c r="I126" t="s">
        <v>14</v>
      </c>
    </row>
    <row r="127" spans="2:12">
      <c r="B127" s="8">
        <v>46265</v>
      </c>
      <c r="C127" s="2" t="str">
        <f>TEXT(B127,"mmm")</f>
        <v>Aug</v>
      </c>
      <c r="D127" t="str">
        <f>_xlfn.XLOOKUP(Table1[[#This Row],[Category]],Table2[Type],Table2[Cash Flow])</f>
        <v>Expense</v>
      </c>
      <c r="E127" t="s">
        <v>57</v>
      </c>
      <c r="F127" s="3">
        <v>1000</v>
      </c>
      <c r="G127" s="3">
        <v>1000</v>
      </c>
      <c r="H127" s="3" t="str">
        <f>_xlfn.XLOOKUP(Table1[[#This Row],[Category]],Table2[Type],Table2[Sub Type])</f>
        <v>Financial Priority</v>
      </c>
      <c r="I127" t="s">
        <v>57</v>
      </c>
    </row>
    <row r="128" spans="2:12">
      <c r="B128" s="9">
        <v>46280</v>
      </c>
      <c r="C128" s="10" t="str">
        <f t="shared" ref="C128:C146" si="11">TEXT(B128,"mmm")</f>
        <v>Sep</v>
      </c>
      <c r="D128" s="12" t="str">
        <f>_xlfn.XLOOKUP(Table1[[#This Row],[Category]],Table2[Type],Table2[Cash Flow])</f>
        <v>Income</v>
      </c>
      <c r="E128" s="12" t="s">
        <v>25</v>
      </c>
      <c r="F128" s="11">
        <v>16500</v>
      </c>
      <c r="G128" s="11"/>
      <c r="H128" s="11" t="str">
        <f>_xlfn.XLOOKUP(Table1[[#This Row],[Category]],Table2[Type],Table2[Sub Type])</f>
        <v>Salary</v>
      </c>
      <c r="I128" s="12"/>
    </row>
    <row r="129" spans="2:12">
      <c r="B129" s="9">
        <v>46280</v>
      </c>
      <c r="C129" s="10" t="str">
        <f t="shared" si="11"/>
        <v>Sep</v>
      </c>
      <c r="D129" s="12" t="str">
        <f>_xlfn.XLOOKUP(Table1[[#This Row],[Category]],Table2[Type],Table2[Cash Flow])</f>
        <v>Income</v>
      </c>
      <c r="E129" s="12" t="s">
        <v>26</v>
      </c>
      <c r="F129" s="11">
        <v>8000</v>
      </c>
      <c r="G129" s="11"/>
      <c r="H129" s="11" t="str">
        <f>_xlfn.XLOOKUP(Table1[[#This Row],[Category]],Table2[Type],Table2[Sub Type])</f>
        <v>Salary</v>
      </c>
      <c r="I129" s="12"/>
    </row>
    <row r="130" spans="2:12">
      <c r="B130" s="8">
        <v>46280</v>
      </c>
      <c r="C130" s="2" t="str">
        <f t="shared" si="11"/>
        <v>Sep</v>
      </c>
      <c r="D130" t="str">
        <f>_xlfn.XLOOKUP(Table1[[#This Row],[Category]],Table2[Type],Table2[Cash Flow])</f>
        <v>Expense</v>
      </c>
      <c r="E130" t="s">
        <v>9</v>
      </c>
      <c r="F130" s="3">
        <v>10000</v>
      </c>
      <c r="G130" s="3">
        <v>10000</v>
      </c>
      <c r="H130" s="3" t="str">
        <f>_xlfn.XLOOKUP(Table1[[#This Row],[Category]],Table2[Type],Table2[Sub Type])</f>
        <v>Financial Priority</v>
      </c>
      <c r="I130" t="s">
        <v>46</v>
      </c>
    </row>
    <row r="131" spans="2:12">
      <c r="B131" s="8">
        <v>46280</v>
      </c>
      <c r="C131" s="2" t="str">
        <f t="shared" si="11"/>
        <v>Sep</v>
      </c>
      <c r="D131" t="str">
        <f>_xlfn.XLOOKUP(Table1[[#This Row],[Category]],Table2[Type],Table2[Cash Flow])</f>
        <v>Expense</v>
      </c>
      <c r="E131" t="s">
        <v>4</v>
      </c>
      <c r="F131" s="3">
        <v>899</v>
      </c>
      <c r="G131" s="3">
        <v>899</v>
      </c>
      <c r="H131" s="3" t="str">
        <f>_xlfn.XLOOKUP(Table1[[#This Row],[Category]],Table2[Type],Table2[Sub Type])</f>
        <v>Financial Priority</v>
      </c>
      <c r="I131" t="s">
        <v>27</v>
      </c>
      <c r="K131" s="14"/>
    </row>
    <row r="132" spans="2:12">
      <c r="B132" s="8">
        <v>46280</v>
      </c>
      <c r="C132" s="2" t="str">
        <f t="shared" si="11"/>
        <v>Sep</v>
      </c>
      <c r="D132" t="str">
        <f>_xlfn.XLOOKUP(Table1[[#This Row],[Category]],Table2[Type],Table2[Cash Flow])</f>
        <v>Expense</v>
      </c>
      <c r="E132" t="s">
        <v>5</v>
      </c>
      <c r="F132" s="3">
        <v>1800</v>
      </c>
      <c r="G132" s="3">
        <v>1800</v>
      </c>
      <c r="H132" s="3" t="str">
        <f>_xlfn.XLOOKUP(Table1[[#This Row],[Category]],Table2[Type],Table2[Sub Type])</f>
        <v>Needs</v>
      </c>
      <c r="I132" t="s">
        <v>28</v>
      </c>
    </row>
    <row r="133" spans="2:12">
      <c r="B133" s="8">
        <v>46280</v>
      </c>
      <c r="C133" s="2" t="str">
        <f t="shared" si="11"/>
        <v>Sep</v>
      </c>
      <c r="D133" t="str">
        <f>_xlfn.XLOOKUP(Table1[[#This Row],[Category]],Table2[Type],Table2[Cash Flow])</f>
        <v>Expense</v>
      </c>
      <c r="E133" t="s">
        <v>4</v>
      </c>
      <c r="F133" s="3">
        <v>2000</v>
      </c>
      <c r="G133" s="3">
        <v>2000</v>
      </c>
      <c r="H133" s="3" t="str">
        <f>_xlfn.XLOOKUP(Table1[[#This Row],[Category]],Table2[Type],Table2[Sub Type])</f>
        <v>Financial Priority</v>
      </c>
      <c r="I133" t="s">
        <v>39</v>
      </c>
    </row>
    <row r="134" spans="2:12">
      <c r="B134" s="8">
        <v>46280</v>
      </c>
      <c r="C134" s="2" t="str">
        <f t="shared" si="11"/>
        <v>Sep</v>
      </c>
      <c r="D134" t="str">
        <f>_xlfn.XLOOKUP(Table1[[#This Row],[Category]],Table2[Type],Table2[Cash Flow])</f>
        <v>Expense</v>
      </c>
      <c r="E134" t="s">
        <v>15</v>
      </c>
      <c r="F134" s="3">
        <v>500</v>
      </c>
      <c r="G134" s="3">
        <v>500</v>
      </c>
      <c r="H134" s="3" t="str">
        <f>_xlfn.XLOOKUP(Table1[[#This Row],[Category]],Table2[Type],Table2[Sub Type])</f>
        <v>Needs</v>
      </c>
      <c r="I134" t="s">
        <v>50</v>
      </c>
      <c r="L134" s="3"/>
    </row>
    <row r="135" spans="2:12">
      <c r="B135" s="8">
        <v>46280</v>
      </c>
      <c r="C135" s="2" t="str">
        <f>TEXT(B135,"mmm")</f>
        <v>Sep</v>
      </c>
      <c r="D135" t="str">
        <f>_xlfn.XLOOKUP(Table1[[#This Row],[Category]],Table2[Type],Table2[Cash Flow])</f>
        <v>Expense</v>
      </c>
      <c r="E135" t="s">
        <v>5</v>
      </c>
      <c r="F135" s="3">
        <v>500</v>
      </c>
      <c r="G135" s="3">
        <v>500</v>
      </c>
      <c r="H135" s="3" t="str">
        <f>_xlfn.XLOOKUP(Table1[[#This Row],[Category]],Table2[Type],Table2[Sub Type])</f>
        <v>Needs</v>
      </c>
      <c r="I135" t="s">
        <v>47</v>
      </c>
      <c r="L135" s="3"/>
    </row>
    <row r="136" spans="2:12">
      <c r="B136" s="8">
        <v>46280</v>
      </c>
      <c r="C136" s="2" t="str">
        <f t="shared" ref="C136" si="12">TEXT(B136,"mmm")</f>
        <v>Sep</v>
      </c>
      <c r="D136" t="str">
        <f>_xlfn.XLOOKUP(Table1[[#This Row],[Category]],Table2[Type],Table2[Cash Flow])</f>
        <v>Expense</v>
      </c>
      <c r="E136" t="s">
        <v>5</v>
      </c>
      <c r="F136" s="3">
        <v>2500</v>
      </c>
      <c r="G136" s="3">
        <v>2500</v>
      </c>
      <c r="H136" s="3" t="str">
        <f>_xlfn.XLOOKUP(Table1[[#This Row],[Category]],Table2[Type],Table2[Sub Type])</f>
        <v>Needs</v>
      </c>
      <c r="I136" t="s">
        <v>33</v>
      </c>
    </row>
    <row r="137" spans="2:12">
      <c r="B137" s="8">
        <v>46280</v>
      </c>
      <c r="C137" s="2" t="str">
        <f>TEXT(B137,"mmm")</f>
        <v>Sep</v>
      </c>
      <c r="D137" t="str">
        <f>_xlfn.XLOOKUP(Table1[[#This Row],[Category]],Table2[Type],Table2[Cash Flow])</f>
        <v>Expense</v>
      </c>
      <c r="E137" t="s">
        <v>52</v>
      </c>
      <c r="F137" s="3">
        <v>1000</v>
      </c>
      <c r="G137" s="3">
        <v>1000</v>
      </c>
      <c r="H137" s="3" t="str">
        <f>_xlfn.XLOOKUP(Table1[[#This Row],[Category]],Table2[Type],Table2[Sub Type])</f>
        <v>Needs</v>
      </c>
      <c r="I137" t="s">
        <v>52</v>
      </c>
    </row>
    <row r="138" spans="2:12">
      <c r="B138" s="9">
        <v>46295</v>
      </c>
      <c r="C138" s="10" t="str">
        <f t="shared" si="11"/>
        <v>Sep</v>
      </c>
      <c r="D138" s="12" t="str">
        <f>_xlfn.XLOOKUP(Table1[[#This Row],[Category]],Table2[Type],Table2[Cash Flow])</f>
        <v>Income</v>
      </c>
      <c r="E138" s="12" t="s">
        <v>25</v>
      </c>
      <c r="F138" s="11">
        <v>16500</v>
      </c>
      <c r="G138" s="11"/>
      <c r="H138" s="11" t="str">
        <f>_xlfn.XLOOKUP(Table1[[#This Row],[Category]],Table2[Type],Table2[Sub Type])</f>
        <v>Salary</v>
      </c>
      <c r="I138" s="12"/>
    </row>
    <row r="139" spans="2:12">
      <c r="B139" s="9">
        <v>46295</v>
      </c>
      <c r="C139" s="10" t="str">
        <f t="shared" si="11"/>
        <v>Sep</v>
      </c>
      <c r="D139" s="12" t="str">
        <f>_xlfn.XLOOKUP(Table1[[#This Row],[Category]],Table2[Type],Table2[Cash Flow])</f>
        <v>Income</v>
      </c>
      <c r="E139" s="12" t="s">
        <v>26</v>
      </c>
      <c r="F139" s="11">
        <v>8000</v>
      </c>
      <c r="G139" s="11"/>
      <c r="H139" s="11" t="str">
        <f>_xlfn.XLOOKUP(Table1[[#This Row],[Category]],Table2[Type],Table2[Sub Type])</f>
        <v>Salary</v>
      </c>
      <c r="I139" s="12"/>
    </row>
    <row r="140" spans="2:12">
      <c r="B140" s="8">
        <v>46295</v>
      </c>
      <c r="C140" s="2" t="str">
        <f t="shared" si="11"/>
        <v>Sep</v>
      </c>
      <c r="D140" t="str">
        <f>_xlfn.XLOOKUP(Table1[[#This Row],[Category]],Table2[Type],Table2[Cash Flow])</f>
        <v>Expense</v>
      </c>
      <c r="E140" t="s">
        <v>13</v>
      </c>
      <c r="F140" s="3">
        <v>7000</v>
      </c>
      <c r="G140" s="3">
        <v>7000</v>
      </c>
      <c r="H140" s="3" t="str">
        <f>_xlfn.XLOOKUP(Table1[[#This Row],[Category]],Table2[Type],Table2[Sub Type])</f>
        <v>Financial Priority</v>
      </c>
      <c r="I140" t="s">
        <v>59</v>
      </c>
    </row>
    <row r="141" spans="2:12">
      <c r="B141" s="8">
        <v>46295</v>
      </c>
      <c r="C141" s="2" t="str">
        <f t="shared" si="11"/>
        <v>Sep</v>
      </c>
      <c r="D141" t="str">
        <f>_xlfn.XLOOKUP(Table1[[#This Row],[Category]],Table2[Type],Table2[Cash Flow])</f>
        <v>Expense</v>
      </c>
      <c r="E141" t="s">
        <v>31</v>
      </c>
      <c r="F141" s="3">
        <v>3460</v>
      </c>
      <c r="G141" s="3">
        <v>3460</v>
      </c>
      <c r="H141" s="3" t="str">
        <f>_xlfn.XLOOKUP(Table1[[#This Row],[Category]],Table2[Type],Table2[Sub Type])</f>
        <v>Financial Priority</v>
      </c>
      <c r="I141" t="s">
        <v>40</v>
      </c>
      <c r="K141" s="14"/>
    </row>
    <row r="142" spans="2:12">
      <c r="B142" s="8">
        <v>46295</v>
      </c>
      <c r="C142" s="2" t="str">
        <f t="shared" si="11"/>
        <v>Sep</v>
      </c>
      <c r="D142" t="str">
        <f>_xlfn.XLOOKUP(Table1[[#This Row],[Category]],Table2[Type],Table2[Cash Flow])</f>
        <v>Expense</v>
      </c>
      <c r="E142" t="s">
        <v>5</v>
      </c>
      <c r="F142" s="3">
        <v>2500</v>
      </c>
      <c r="G142" s="3">
        <v>2500</v>
      </c>
      <c r="H142" s="3" t="str">
        <f>_xlfn.XLOOKUP(Table1[[#This Row],[Category]],Table2[Type],Table2[Sub Type])</f>
        <v>Needs</v>
      </c>
      <c r="I142" t="s">
        <v>37</v>
      </c>
    </row>
    <row r="143" spans="2:12">
      <c r="B143" s="8">
        <v>46295</v>
      </c>
      <c r="C143" s="2" t="str">
        <f t="shared" si="11"/>
        <v>Sep</v>
      </c>
      <c r="D143" t="str">
        <f>_xlfn.XLOOKUP(Table1[[#This Row],[Category]],Table2[Type],Table2[Cash Flow])</f>
        <v>Expense</v>
      </c>
      <c r="E143" t="s">
        <v>5</v>
      </c>
      <c r="F143" s="3">
        <v>1800</v>
      </c>
      <c r="G143" s="3">
        <v>1800</v>
      </c>
      <c r="H143" s="3" t="str">
        <f>_xlfn.XLOOKUP(Table1[[#This Row],[Category]],Table2[Type],Table2[Sub Type])</f>
        <v>Needs</v>
      </c>
      <c r="I143" t="s">
        <v>28</v>
      </c>
    </row>
    <row r="144" spans="2:12">
      <c r="B144" s="8">
        <v>46295</v>
      </c>
      <c r="C144" s="2" t="str">
        <f t="shared" si="11"/>
        <v>Sep</v>
      </c>
      <c r="D144" t="str">
        <f>_xlfn.XLOOKUP(Table1[[#This Row],[Category]],Table2[Type],Table2[Cash Flow])</f>
        <v>Expense</v>
      </c>
      <c r="E144" t="s">
        <v>5</v>
      </c>
      <c r="F144" s="3">
        <v>500</v>
      </c>
      <c r="G144" s="3">
        <v>500</v>
      </c>
      <c r="H144" s="3" t="str">
        <f>_xlfn.XLOOKUP(Table1[[#This Row],[Category]],Table2[Type],Table2[Sub Type])</f>
        <v>Needs</v>
      </c>
      <c r="I144" t="s">
        <v>38</v>
      </c>
      <c r="L144" s="3"/>
    </row>
    <row r="145" spans="2:12">
      <c r="B145" s="8">
        <v>46295</v>
      </c>
      <c r="C145" s="2" t="str">
        <f t="shared" si="11"/>
        <v>Sep</v>
      </c>
      <c r="D145" t="str">
        <f>_xlfn.XLOOKUP(Table1[[#This Row],[Category]],Table2[Type],Table2[Cash Flow])</f>
        <v>Expense</v>
      </c>
      <c r="E145" t="s">
        <v>4</v>
      </c>
      <c r="F145" s="3">
        <v>500</v>
      </c>
      <c r="G145" s="3">
        <v>500</v>
      </c>
      <c r="H145" s="3" t="str">
        <f>_xlfn.XLOOKUP(Table1[[#This Row],[Category]],Table2[Type],Table2[Sub Type])</f>
        <v>Financial Priority</v>
      </c>
      <c r="I145" t="s">
        <v>30</v>
      </c>
      <c r="L145" s="3"/>
    </row>
    <row r="146" spans="2:12">
      <c r="B146" s="8">
        <v>46295</v>
      </c>
      <c r="C146" s="2" t="str">
        <f t="shared" si="11"/>
        <v>Sep</v>
      </c>
      <c r="D146" t="str">
        <f>_xlfn.XLOOKUP(Table1[[#This Row],[Category]],Table2[Type],Table2[Cash Flow])</f>
        <v>Expense</v>
      </c>
      <c r="E146" t="s">
        <v>15</v>
      </c>
      <c r="F146" s="3">
        <v>500</v>
      </c>
      <c r="G146" s="3">
        <v>500</v>
      </c>
      <c r="H146" s="3" t="str">
        <f>_xlfn.XLOOKUP(Table1[[#This Row],[Category]],Table2[Type],Table2[Sub Type])</f>
        <v>Needs</v>
      </c>
      <c r="I146" t="s">
        <v>53</v>
      </c>
    </row>
    <row r="147" spans="2:12">
      <c r="B147" s="8">
        <v>46295</v>
      </c>
      <c r="C147" s="2" t="str">
        <f t="shared" ref="C147" si="13">TEXT(B147,"mmm")</f>
        <v>Sep</v>
      </c>
      <c r="D147" t="str">
        <f>_xlfn.XLOOKUP(Table1[[#This Row],[Category]],Table2[Type],Table2[Cash Flow])</f>
        <v>Expense</v>
      </c>
      <c r="E147" t="s">
        <v>14</v>
      </c>
      <c r="F147" s="3">
        <v>1000</v>
      </c>
      <c r="G147" s="3">
        <v>1000</v>
      </c>
      <c r="H147" s="3" t="str">
        <f>_xlfn.XLOOKUP(Table1[[#This Row],[Category]],Table2[Type],Table2[Sub Type])</f>
        <v>Needs</v>
      </c>
      <c r="I147" t="s">
        <v>14</v>
      </c>
    </row>
    <row r="148" spans="2:12">
      <c r="B148" s="8">
        <v>46295</v>
      </c>
      <c r="C148" s="2" t="str">
        <f>TEXT(B148,"mmm")</f>
        <v>Sep</v>
      </c>
      <c r="D148" t="str">
        <f>_xlfn.XLOOKUP(Table1[[#This Row],[Category]],Table2[Type],Table2[Cash Flow])</f>
        <v>Expense</v>
      </c>
      <c r="E148" t="s">
        <v>57</v>
      </c>
      <c r="F148" s="3">
        <v>1000</v>
      </c>
      <c r="G148" s="3">
        <v>1000</v>
      </c>
      <c r="H148" s="3" t="str">
        <f>_xlfn.XLOOKUP(Table1[[#This Row],[Category]],Table2[Type],Table2[Sub Type])</f>
        <v>Financial Priority</v>
      </c>
      <c r="I148" t="s">
        <v>57</v>
      </c>
    </row>
    <row r="149" spans="2:12">
      <c r="B149" s="9">
        <v>46310</v>
      </c>
      <c r="C149" s="10" t="str">
        <f t="shared" ref="C149:C168" si="14">TEXT(B149,"mmm")</f>
        <v>Oct</v>
      </c>
      <c r="D149" s="12" t="str">
        <f>_xlfn.XLOOKUP(Table1[[#This Row],[Category]],Table2[Type],Table2[Cash Flow])</f>
        <v>Income</v>
      </c>
      <c r="E149" s="12" t="s">
        <v>25</v>
      </c>
      <c r="F149" s="11">
        <v>16500</v>
      </c>
      <c r="G149" s="11"/>
      <c r="H149" s="11" t="str">
        <f>_xlfn.XLOOKUP(Table1[[#This Row],[Category]],Table2[Type],Table2[Sub Type])</f>
        <v>Salary</v>
      </c>
      <c r="I149" s="12"/>
    </row>
    <row r="150" spans="2:12">
      <c r="B150" s="9">
        <v>46310</v>
      </c>
      <c r="C150" s="10" t="str">
        <f t="shared" si="14"/>
        <v>Oct</v>
      </c>
      <c r="D150" s="12" t="str">
        <f>_xlfn.XLOOKUP(Table1[[#This Row],[Category]],Table2[Type],Table2[Cash Flow])</f>
        <v>Income</v>
      </c>
      <c r="E150" s="12" t="s">
        <v>26</v>
      </c>
      <c r="F150" s="11">
        <v>8000</v>
      </c>
      <c r="G150" s="11"/>
      <c r="H150" s="11" t="str">
        <f>_xlfn.XLOOKUP(Table1[[#This Row],[Category]],Table2[Type],Table2[Sub Type])</f>
        <v>Salary</v>
      </c>
      <c r="I150" s="12"/>
    </row>
    <row r="151" spans="2:12">
      <c r="B151" s="8">
        <v>46310</v>
      </c>
      <c r="C151" s="2" t="str">
        <f t="shared" si="14"/>
        <v>Oct</v>
      </c>
      <c r="D151" t="str">
        <f>_xlfn.XLOOKUP(Table1[[#This Row],[Category]],Table2[Type],Table2[Cash Flow])</f>
        <v>Expense</v>
      </c>
      <c r="E151" t="s">
        <v>9</v>
      </c>
      <c r="F151" s="3">
        <v>10000</v>
      </c>
      <c r="G151" s="3">
        <v>10000</v>
      </c>
      <c r="H151" s="3" t="str">
        <f>_xlfn.XLOOKUP(Table1[[#This Row],[Category]],Table2[Type],Table2[Sub Type])</f>
        <v>Financial Priority</v>
      </c>
      <c r="I151" t="s">
        <v>46</v>
      </c>
    </row>
    <row r="152" spans="2:12">
      <c r="B152" s="8">
        <v>46310</v>
      </c>
      <c r="C152" s="2" t="str">
        <f t="shared" si="14"/>
        <v>Oct</v>
      </c>
      <c r="D152" t="str">
        <f>_xlfn.XLOOKUP(Table1[[#This Row],[Category]],Table2[Type],Table2[Cash Flow])</f>
        <v>Expense</v>
      </c>
      <c r="E152" t="s">
        <v>4</v>
      </c>
      <c r="F152" s="3">
        <v>899</v>
      </c>
      <c r="G152" s="3">
        <v>899</v>
      </c>
      <c r="H152" s="3" t="str">
        <f>_xlfn.XLOOKUP(Table1[[#This Row],[Category]],Table2[Type],Table2[Sub Type])</f>
        <v>Financial Priority</v>
      </c>
      <c r="I152" t="s">
        <v>27</v>
      </c>
      <c r="K152" s="14"/>
    </row>
    <row r="153" spans="2:12">
      <c r="B153" s="8">
        <v>46310</v>
      </c>
      <c r="C153" s="2" t="str">
        <f t="shared" si="14"/>
        <v>Oct</v>
      </c>
      <c r="D153" t="str">
        <f>_xlfn.XLOOKUP(Table1[[#This Row],[Category]],Table2[Type],Table2[Cash Flow])</f>
        <v>Expense</v>
      </c>
      <c r="E153" t="s">
        <v>5</v>
      </c>
      <c r="F153" s="3">
        <v>2000</v>
      </c>
      <c r="G153" s="3">
        <v>2000</v>
      </c>
      <c r="H153" s="3" t="str">
        <f>_xlfn.XLOOKUP(Table1[[#This Row],[Category]],Table2[Type],Table2[Sub Type])</f>
        <v>Needs</v>
      </c>
      <c r="I153" t="s">
        <v>28</v>
      </c>
    </row>
    <row r="154" spans="2:12">
      <c r="B154" s="8">
        <v>46310</v>
      </c>
      <c r="C154" s="2" t="str">
        <f t="shared" si="14"/>
        <v>Oct</v>
      </c>
      <c r="D154" t="str">
        <f>_xlfn.XLOOKUP(Table1[[#This Row],[Category]],Table2[Type],Table2[Cash Flow])</f>
        <v>Expense</v>
      </c>
      <c r="E154" t="s">
        <v>4</v>
      </c>
      <c r="F154" s="3">
        <v>2000</v>
      </c>
      <c r="G154" s="3">
        <v>2000</v>
      </c>
      <c r="H154" s="3" t="str">
        <f>_xlfn.XLOOKUP(Table1[[#This Row],[Category]],Table2[Type],Table2[Sub Type])</f>
        <v>Financial Priority</v>
      </c>
      <c r="I154" t="s">
        <v>39</v>
      </c>
    </row>
    <row r="155" spans="2:12">
      <c r="B155" s="8">
        <v>46310</v>
      </c>
      <c r="C155" s="2" t="str">
        <f t="shared" si="14"/>
        <v>Oct</v>
      </c>
      <c r="D155" t="str">
        <f>_xlfn.XLOOKUP(Table1[[#This Row],[Category]],Table2[Type],Table2[Cash Flow])</f>
        <v>Expense</v>
      </c>
      <c r="E155" t="s">
        <v>15</v>
      </c>
      <c r="F155" s="3">
        <v>500</v>
      </c>
      <c r="G155" s="3">
        <v>500</v>
      </c>
      <c r="H155" s="3" t="str">
        <f>_xlfn.XLOOKUP(Table1[[#This Row],[Category]],Table2[Type],Table2[Sub Type])</f>
        <v>Needs</v>
      </c>
      <c r="I155" t="s">
        <v>50</v>
      </c>
      <c r="L155" s="3"/>
    </row>
    <row r="156" spans="2:12">
      <c r="B156" s="8">
        <v>46310</v>
      </c>
      <c r="C156" s="2" t="str">
        <f>TEXT(B156,"mmm")</f>
        <v>Oct</v>
      </c>
      <c r="D156" t="str">
        <f>_xlfn.XLOOKUP(Table1[[#This Row],[Category]],Table2[Type],Table2[Cash Flow])</f>
        <v>Expense</v>
      </c>
      <c r="E156" t="s">
        <v>5</v>
      </c>
      <c r="F156" s="3">
        <v>500</v>
      </c>
      <c r="G156" s="3">
        <v>500</v>
      </c>
      <c r="H156" s="3" t="str">
        <f>_xlfn.XLOOKUP(Table1[[#This Row],[Category]],Table2[Type],Table2[Sub Type])</f>
        <v>Needs</v>
      </c>
      <c r="I156" t="s">
        <v>47</v>
      </c>
      <c r="L156" s="3"/>
    </row>
    <row r="157" spans="2:12">
      <c r="B157" s="8">
        <v>46310</v>
      </c>
      <c r="C157" s="2" t="str">
        <f t="shared" ref="C157" si="15">TEXT(B157,"mmm")</f>
        <v>Oct</v>
      </c>
      <c r="D157" t="str">
        <f>_xlfn.XLOOKUP(Table1[[#This Row],[Category]],Table2[Type],Table2[Cash Flow])</f>
        <v>Expense</v>
      </c>
      <c r="E157" t="s">
        <v>5</v>
      </c>
      <c r="F157" s="3">
        <v>2500</v>
      </c>
      <c r="G157" s="3">
        <v>2500</v>
      </c>
      <c r="H157" s="3" t="str">
        <f>_xlfn.XLOOKUP(Table1[[#This Row],[Category]],Table2[Type],Table2[Sub Type])</f>
        <v>Needs</v>
      </c>
      <c r="I157" t="s">
        <v>33</v>
      </c>
    </row>
    <row r="158" spans="2:12">
      <c r="B158" s="8">
        <v>46310</v>
      </c>
      <c r="C158" s="2" t="str">
        <f>TEXT(B158,"mmm")</f>
        <v>Oct</v>
      </c>
      <c r="D158" t="str">
        <f>_xlfn.XLOOKUP(Table1[[#This Row],[Category]],Table2[Type],Table2[Cash Flow])</f>
        <v>Expense</v>
      </c>
      <c r="E158" t="s">
        <v>52</v>
      </c>
      <c r="F158" s="3">
        <v>1000</v>
      </c>
      <c r="G158" s="3">
        <v>1000</v>
      </c>
      <c r="H158" s="3" t="str">
        <f>_xlfn.XLOOKUP(Table1[[#This Row],[Category]],Table2[Type],Table2[Sub Type])</f>
        <v>Needs</v>
      </c>
      <c r="I158" t="s">
        <v>52</v>
      </c>
    </row>
    <row r="159" spans="2:12">
      <c r="B159" s="9">
        <v>46326</v>
      </c>
      <c r="C159" s="10" t="str">
        <f t="shared" si="14"/>
        <v>Oct</v>
      </c>
      <c r="D159" s="12" t="str">
        <f>_xlfn.XLOOKUP(Table1[[#This Row],[Category]],Table2[Type],Table2[Cash Flow])</f>
        <v>Income</v>
      </c>
      <c r="E159" s="12" t="s">
        <v>25</v>
      </c>
      <c r="F159" s="11">
        <v>16500</v>
      </c>
      <c r="G159" s="11"/>
      <c r="H159" s="11" t="str">
        <f>_xlfn.XLOOKUP(Table1[[#This Row],[Category]],Table2[Type],Table2[Sub Type])</f>
        <v>Salary</v>
      </c>
      <c r="I159" s="12"/>
    </row>
    <row r="160" spans="2:12">
      <c r="B160" s="9">
        <v>46326</v>
      </c>
      <c r="C160" s="10" t="str">
        <f t="shared" si="14"/>
        <v>Oct</v>
      </c>
      <c r="D160" s="12" t="str">
        <f>_xlfn.XLOOKUP(Table1[[#This Row],[Category]],Table2[Type],Table2[Cash Flow])</f>
        <v>Income</v>
      </c>
      <c r="E160" s="12" t="s">
        <v>26</v>
      </c>
      <c r="F160" s="11">
        <v>8000</v>
      </c>
      <c r="G160" s="11"/>
      <c r="H160" s="11" t="str">
        <f>_xlfn.XLOOKUP(Table1[[#This Row],[Category]],Table2[Type],Table2[Sub Type])</f>
        <v>Salary</v>
      </c>
      <c r="I160" s="12"/>
    </row>
    <row r="161" spans="2:12">
      <c r="B161" s="8">
        <v>46326</v>
      </c>
      <c r="C161" s="2" t="str">
        <f t="shared" si="14"/>
        <v>Oct</v>
      </c>
      <c r="D161" t="str">
        <f>_xlfn.XLOOKUP(Table1[[#This Row],[Category]],Table2[Type],Table2[Cash Flow])</f>
        <v>Expense</v>
      </c>
      <c r="E161" t="s">
        <v>13</v>
      </c>
      <c r="F161" s="3">
        <v>7000</v>
      </c>
      <c r="G161" s="3">
        <v>7000</v>
      </c>
      <c r="H161" s="3" t="str">
        <f>_xlfn.XLOOKUP(Table1[[#This Row],[Category]],Table2[Type],Table2[Sub Type])</f>
        <v>Financial Priority</v>
      </c>
      <c r="I161" t="s">
        <v>59</v>
      </c>
    </row>
    <row r="162" spans="2:12">
      <c r="B162" s="8">
        <v>46326</v>
      </c>
      <c r="C162" s="2" t="str">
        <f t="shared" si="14"/>
        <v>Oct</v>
      </c>
      <c r="D162" t="str">
        <f>_xlfn.XLOOKUP(Table1[[#This Row],[Category]],Table2[Type],Table2[Cash Flow])</f>
        <v>Expense</v>
      </c>
      <c r="E162" t="s">
        <v>31</v>
      </c>
      <c r="F162" s="3">
        <v>3460</v>
      </c>
      <c r="G162" s="3">
        <v>3460</v>
      </c>
      <c r="H162" s="3" t="str">
        <f>_xlfn.XLOOKUP(Table1[[#This Row],[Category]],Table2[Type],Table2[Sub Type])</f>
        <v>Financial Priority</v>
      </c>
      <c r="I162" t="s">
        <v>40</v>
      </c>
      <c r="K162" s="14"/>
    </row>
    <row r="163" spans="2:12">
      <c r="B163" s="8">
        <v>46326</v>
      </c>
      <c r="C163" s="2" t="str">
        <f t="shared" si="14"/>
        <v>Oct</v>
      </c>
      <c r="D163" t="str">
        <f>_xlfn.XLOOKUP(Table1[[#This Row],[Category]],Table2[Type],Table2[Cash Flow])</f>
        <v>Expense</v>
      </c>
      <c r="E163" t="s">
        <v>5</v>
      </c>
      <c r="F163" s="3">
        <v>2500</v>
      </c>
      <c r="G163" s="3">
        <v>2500</v>
      </c>
      <c r="H163" s="3" t="str">
        <f>_xlfn.XLOOKUP(Table1[[#This Row],[Category]],Table2[Type],Table2[Sub Type])</f>
        <v>Needs</v>
      </c>
      <c r="I163" t="s">
        <v>37</v>
      </c>
    </row>
    <row r="164" spans="2:12">
      <c r="B164" s="8">
        <v>46326</v>
      </c>
      <c r="C164" s="2" t="str">
        <f t="shared" si="14"/>
        <v>Oct</v>
      </c>
      <c r="D164" t="str">
        <f>_xlfn.XLOOKUP(Table1[[#This Row],[Category]],Table2[Type],Table2[Cash Flow])</f>
        <v>Expense</v>
      </c>
      <c r="E164" t="s">
        <v>5</v>
      </c>
      <c r="F164" s="3">
        <v>1800</v>
      </c>
      <c r="G164" s="3">
        <v>1800</v>
      </c>
      <c r="H164" s="3" t="str">
        <f>_xlfn.XLOOKUP(Table1[[#This Row],[Category]],Table2[Type],Table2[Sub Type])</f>
        <v>Needs</v>
      </c>
      <c r="I164" t="s">
        <v>28</v>
      </c>
    </row>
    <row r="165" spans="2:12">
      <c r="B165" s="8">
        <v>46326</v>
      </c>
      <c r="C165" s="2" t="str">
        <f t="shared" si="14"/>
        <v>Oct</v>
      </c>
      <c r="D165" t="str">
        <f>_xlfn.XLOOKUP(Table1[[#This Row],[Category]],Table2[Type],Table2[Cash Flow])</f>
        <v>Expense</v>
      </c>
      <c r="E165" t="s">
        <v>5</v>
      </c>
      <c r="F165" s="3">
        <v>500</v>
      </c>
      <c r="G165" s="3">
        <v>500</v>
      </c>
      <c r="H165" s="3" t="str">
        <f>_xlfn.XLOOKUP(Table1[[#This Row],[Category]],Table2[Type],Table2[Sub Type])</f>
        <v>Needs</v>
      </c>
      <c r="I165" t="s">
        <v>38</v>
      </c>
      <c r="L165" s="3"/>
    </row>
    <row r="166" spans="2:12">
      <c r="B166" s="8">
        <v>46326</v>
      </c>
      <c r="C166" s="2" t="str">
        <f t="shared" si="14"/>
        <v>Oct</v>
      </c>
      <c r="D166" t="str">
        <f>_xlfn.XLOOKUP(Table1[[#This Row],[Category]],Table2[Type],Table2[Cash Flow])</f>
        <v>Expense</v>
      </c>
      <c r="E166" t="s">
        <v>4</v>
      </c>
      <c r="F166" s="3">
        <v>500</v>
      </c>
      <c r="G166" s="3">
        <v>500</v>
      </c>
      <c r="H166" s="3" t="str">
        <f>_xlfn.XLOOKUP(Table1[[#This Row],[Category]],Table2[Type],Table2[Sub Type])</f>
        <v>Financial Priority</v>
      </c>
      <c r="I166" t="s">
        <v>30</v>
      </c>
      <c r="L166" s="3"/>
    </row>
    <row r="167" spans="2:12">
      <c r="B167" s="8">
        <v>46326</v>
      </c>
      <c r="C167" s="2" t="str">
        <f t="shared" si="14"/>
        <v>Oct</v>
      </c>
      <c r="D167" t="str">
        <f>_xlfn.XLOOKUP(Table1[[#This Row],[Category]],Table2[Type],Table2[Cash Flow])</f>
        <v>Expense</v>
      </c>
      <c r="E167" t="s">
        <v>15</v>
      </c>
      <c r="F167" s="3">
        <v>500</v>
      </c>
      <c r="G167" s="3">
        <v>500</v>
      </c>
      <c r="H167" s="3" t="str">
        <f>_xlfn.XLOOKUP(Table1[[#This Row],[Category]],Table2[Type],Table2[Sub Type])</f>
        <v>Needs</v>
      </c>
      <c r="I167" t="s">
        <v>53</v>
      </c>
    </row>
    <row r="168" spans="2:12">
      <c r="B168" s="8">
        <v>46326</v>
      </c>
      <c r="C168" s="2" t="str">
        <f t="shared" si="14"/>
        <v>Oct</v>
      </c>
      <c r="D168" t="str">
        <f>_xlfn.XLOOKUP(Table1[[#This Row],[Category]],Table2[Type],Table2[Cash Flow])</f>
        <v>Expense</v>
      </c>
      <c r="E168" t="s">
        <v>14</v>
      </c>
      <c r="F168" s="3">
        <v>1000</v>
      </c>
      <c r="G168" s="3">
        <v>1000</v>
      </c>
      <c r="H168" s="3" t="str">
        <f>_xlfn.XLOOKUP(Table1[[#This Row],[Category]],Table2[Type],Table2[Sub Type])</f>
        <v>Needs</v>
      </c>
      <c r="I168" t="s">
        <v>14</v>
      </c>
    </row>
    <row r="169" spans="2:12">
      <c r="B169" s="8">
        <v>46326</v>
      </c>
      <c r="C169" s="2" t="str">
        <f>TEXT(B169,"mmm")</f>
        <v>Oct</v>
      </c>
      <c r="D169" t="str">
        <f>_xlfn.XLOOKUP(Table1[[#This Row],[Category]],Table2[Type],Table2[Cash Flow])</f>
        <v>Expense</v>
      </c>
      <c r="E169" t="s">
        <v>57</v>
      </c>
      <c r="F169" s="3">
        <v>1000</v>
      </c>
      <c r="G169" s="3">
        <v>1000</v>
      </c>
      <c r="H169" s="3" t="str">
        <f>_xlfn.XLOOKUP(Table1[[#This Row],[Category]],Table2[Type],Table2[Sub Type])</f>
        <v>Financial Priority</v>
      </c>
      <c r="I169" t="s">
        <v>57</v>
      </c>
    </row>
    <row r="170" spans="2:12">
      <c r="B170" s="9">
        <v>46341</v>
      </c>
      <c r="C170" s="10" t="str">
        <f t="shared" ref="C170:C190" si="16">TEXT(B170,"mmm")</f>
        <v>Nov</v>
      </c>
      <c r="D170" s="12" t="str">
        <f>_xlfn.XLOOKUP(Table1[[#This Row],[Category]],Table2[Type],Table2[Cash Flow])</f>
        <v>Income</v>
      </c>
      <c r="E170" s="12" t="s">
        <v>25</v>
      </c>
      <c r="F170" s="11">
        <v>16500</v>
      </c>
      <c r="G170" s="11"/>
      <c r="H170" s="11" t="str">
        <f>_xlfn.XLOOKUP(Table1[[#This Row],[Category]],Table2[Type],Table2[Sub Type])</f>
        <v>Salary</v>
      </c>
      <c r="I170" s="12"/>
    </row>
    <row r="171" spans="2:12">
      <c r="B171" s="9">
        <v>46341</v>
      </c>
      <c r="C171" s="10" t="str">
        <f t="shared" si="16"/>
        <v>Nov</v>
      </c>
      <c r="D171" s="12" t="str">
        <f>_xlfn.XLOOKUP(Table1[[#This Row],[Category]],Table2[Type],Table2[Cash Flow])</f>
        <v>Income</v>
      </c>
      <c r="E171" s="12" t="s">
        <v>26</v>
      </c>
      <c r="F171" s="11">
        <v>8000</v>
      </c>
      <c r="G171" s="11"/>
      <c r="H171" s="11" t="str">
        <f>_xlfn.XLOOKUP(Table1[[#This Row],[Category]],Table2[Type],Table2[Sub Type])</f>
        <v>Salary</v>
      </c>
      <c r="I171" s="12"/>
    </row>
    <row r="172" spans="2:12">
      <c r="B172" s="8">
        <v>46341</v>
      </c>
      <c r="C172" s="2" t="str">
        <f t="shared" si="16"/>
        <v>Nov</v>
      </c>
      <c r="D172" t="str">
        <f>_xlfn.XLOOKUP(Table1[[#This Row],[Category]],Table2[Type],Table2[Cash Flow])</f>
        <v>Expense</v>
      </c>
      <c r="E172" t="s">
        <v>9</v>
      </c>
      <c r="F172" s="3">
        <v>10000</v>
      </c>
      <c r="G172" s="3">
        <v>10000</v>
      </c>
      <c r="H172" s="3" t="str">
        <f>_xlfn.XLOOKUP(Table1[[#This Row],[Category]],Table2[Type],Table2[Sub Type])</f>
        <v>Financial Priority</v>
      </c>
      <c r="I172" t="s">
        <v>46</v>
      </c>
    </row>
    <row r="173" spans="2:12">
      <c r="B173" s="8">
        <v>46341</v>
      </c>
      <c r="C173" s="2" t="str">
        <f t="shared" si="16"/>
        <v>Nov</v>
      </c>
      <c r="D173" t="str">
        <f>_xlfn.XLOOKUP(Table1[[#This Row],[Category]],Table2[Type],Table2[Cash Flow])</f>
        <v>Expense</v>
      </c>
      <c r="E173" t="s">
        <v>4</v>
      </c>
      <c r="F173" s="3">
        <v>899</v>
      </c>
      <c r="G173" s="3">
        <v>899</v>
      </c>
      <c r="H173" s="3" t="str">
        <f>_xlfn.XLOOKUP(Table1[[#This Row],[Category]],Table2[Type],Table2[Sub Type])</f>
        <v>Financial Priority</v>
      </c>
      <c r="I173" t="s">
        <v>27</v>
      </c>
      <c r="K173" s="14"/>
    </row>
    <row r="174" spans="2:12">
      <c r="B174" s="8">
        <v>46341</v>
      </c>
      <c r="C174" s="2" t="str">
        <f t="shared" si="16"/>
        <v>Nov</v>
      </c>
      <c r="D174" t="str">
        <f>_xlfn.XLOOKUP(Table1[[#This Row],[Category]],Table2[Type],Table2[Cash Flow])</f>
        <v>Expense</v>
      </c>
      <c r="E174" t="s">
        <v>5</v>
      </c>
      <c r="F174" s="3">
        <v>1800</v>
      </c>
      <c r="G174" s="3">
        <v>1800</v>
      </c>
      <c r="H174" s="3" t="str">
        <f>_xlfn.XLOOKUP(Table1[[#This Row],[Category]],Table2[Type],Table2[Sub Type])</f>
        <v>Needs</v>
      </c>
      <c r="I174" t="s">
        <v>28</v>
      </c>
    </row>
    <row r="175" spans="2:12">
      <c r="B175" s="8">
        <v>46341</v>
      </c>
      <c r="C175" s="2" t="str">
        <f t="shared" si="16"/>
        <v>Nov</v>
      </c>
      <c r="D175" t="str">
        <f>_xlfn.XLOOKUP(Table1[[#This Row],[Category]],Table2[Type],Table2[Cash Flow])</f>
        <v>Expense</v>
      </c>
      <c r="E175" t="s">
        <v>4</v>
      </c>
      <c r="F175" s="3">
        <v>2000</v>
      </c>
      <c r="G175" s="3">
        <v>2000</v>
      </c>
      <c r="H175" s="3" t="str">
        <f>_xlfn.XLOOKUP(Table1[[#This Row],[Category]],Table2[Type],Table2[Sub Type])</f>
        <v>Financial Priority</v>
      </c>
      <c r="I175" t="s">
        <v>39</v>
      </c>
    </row>
    <row r="176" spans="2:12">
      <c r="B176" s="8">
        <v>46341</v>
      </c>
      <c r="C176" s="2" t="str">
        <f t="shared" si="16"/>
        <v>Nov</v>
      </c>
      <c r="D176" t="str">
        <f>_xlfn.XLOOKUP(Table1[[#This Row],[Category]],Table2[Type],Table2[Cash Flow])</f>
        <v>Expense</v>
      </c>
      <c r="E176" t="s">
        <v>15</v>
      </c>
      <c r="F176" s="3">
        <v>500</v>
      </c>
      <c r="G176" s="3">
        <v>500</v>
      </c>
      <c r="H176" s="3" t="str">
        <f>_xlfn.XLOOKUP(Table1[[#This Row],[Category]],Table2[Type],Table2[Sub Type])</f>
        <v>Needs</v>
      </c>
      <c r="I176" t="s">
        <v>50</v>
      </c>
      <c r="L176" s="3"/>
    </row>
    <row r="177" spans="2:12">
      <c r="B177" s="8">
        <v>46341</v>
      </c>
      <c r="C177" s="2" t="str">
        <f>TEXT(B177,"mmm")</f>
        <v>Nov</v>
      </c>
      <c r="D177" t="str">
        <f>_xlfn.XLOOKUP(Table1[[#This Row],[Category]],Table2[Type],Table2[Cash Flow])</f>
        <v>Expense</v>
      </c>
      <c r="E177" t="s">
        <v>5</v>
      </c>
      <c r="F177" s="3">
        <v>500</v>
      </c>
      <c r="G177" s="3">
        <v>500</v>
      </c>
      <c r="H177" s="3" t="str">
        <f>_xlfn.XLOOKUP(Table1[[#This Row],[Category]],Table2[Type],Table2[Sub Type])</f>
        <v>Needs</v>
      </c>
      <c r="I177" t="s">
        <v>47</v>
      </c>
      <c r="L177" s="3"/>
    </row>
    <row r="178" spans="2:12">
      <c r="B178" s="8">
        <v>46341</v>
      </c>
      <c r="C178" s="2" t="str">
        <f t="shared" ref="C178" si="17">TEXT(B178,"mmm")</f>
        <v>Nov</v>
      </c>
      <c r="D178" t="str">
        <f>_xlfn.XLOOKUP(Table1[[#This Row],[Category]],Table2[Type],Table2[Cash Flow])</f>
        <v>Expense</v>
      </c>
      <c r="E178" t="s">
        <v>5</v>
      </c>
      <c r="F178" s="3">
        <v>2500</v>
      </c>
      <c r="G178" s="3">
        <v>2500</v>
      </c>
      <c r="H178" s="3" t="str">
        <f>_xlfn.XLOOKUP(Table1[[#This Row],[Category]],Table2[Type],Table2[Sub Type])</f>
        <v>Needs</v>
      </c>
      <c r="I178" t="s">
        <v>33</v>
      </c>
    </row>
    <row r="179" spans="2:12">
      <c r="B179" s="8">
        <v>46341</v>
      </c>
      <c r="C179" s="2" t="str">
        <f>TEXT(B179,"mmm")</f>
        <v>Nov</v>
      </c>
      <c r="D179" t="str">
        <f>_xlfn.XLOOKUP(Table1[[#This Row],[Category]],Table2[Type],Table2[Cash Flow])</f>
        <v>Expense</v>
      </c>
      <c r="E179" t="s">
        <v>52</v>
      </c>
      <c r="F179" s="3">
        <v>1000</v>
      </c>
      <c r="G179" s="3">
        <v>1000</v>
      </c>
      <c r="H179" s="3" t="str">
        <f>_xlfn.XLOOKUP(Table1[[#This Row],[Category]],Table2[Type],Table2[Sub Type])</f>
        <v>Needs</v>
      </c>
      <c r="I179" t="s">
        <v>52</v>
      </c>
    </row>
    <row r="180" spans="2:12">
      <c r="B180" s="20">
        <v>46341</v>
      </c>
      <c r="C180" s="21" t="str">
        <f>TEXT(B180,"mmm")</f>
        <v>Nov</v>
      </c>
      <c r="D180" s="23" t="str">
        <f>_xlfn.XLOOKUP(Table1[[#This Row],[Category]],Table2[Type],Table2[Cash Flow])</f>
        <v>Expense</v>
      </c>
      <c r="E180" s="23" t="s">
        <v>21</v>
      </c>
      <c r="F180" s="22">
        <v>4000</v>
      </c>
      <c r="G180" s="22">
        <v>4000</v>
      </c>
      <c r="H180" s="22" t="str">
        <f>_xlfn.XLOOKUP(Table1[[#This Row],[Category]],Table2[Type],Table2[Sub Type])</f>
        <v>Wants</v>
      </c>
      <c r="I180" s="23" t="s">
        <v>61</v>
      </c>
    </row>
    <row r="181" spans="2:12">
      <c r="B181" s="9">
        <v>46356</v>
      </c>
      <c r="C181" s="10" t="str">
        <f t="shared" si="16"/>
        <v>Nov</v>
      </c>
      <c r="D181" s="12" t="str">
        <f>_xlfn.XLOOKUP(Table1[[#This Row],[Category]],Table2[Type],Table2[Cash Flow])</f>
        <v>Income</v>
      </c>
      <c r="E181" s="12" t="s">
        <v>25</v>
      </c>
      <c r="F181" s="11">
        <v>16500</v>
      </c>
      <c r="G181" s="11"/>
      <c r="H181" s="11" t="str">
        <f>_xlfn.XLOOKUP(Table1[[#This Row],[Category]],Table2[Type],Table2[Sub Type])</f>
        <v>Salary</v>
      </c>
      <c r="I181" s="12"/>
    </row>
    <row r="182" spans="2:12">
      <c r="B182" s="9">
        <v>46356</v>
      </c>
      <c r="C182" s="10" t="str">
        <f t="shared" si="16"/>
        <v>Nov</v>
      </c>
      <c r="D182" s="12" t="str">
        <f>_xlfn.XLOOKUP(Table1[[#This Row],[Category]],Table2[Type],Table2[Cash Flow])</f>
        <v>Income</v>
      </c>
      <c r="E182" s="12" t="s">
        <v>26</v>
      </c>
      <c r="F182" s="11">
        <v>8000</v>
      </c>
      <c r="G182" s="11"/>
      <c r="H182" s="11" t="str">
        <f>_xlfn.XLOOKUP(Table1[[#This Row],[Category]],Table2[Type],Table2[Sub Type])</f>
        <v>Salary</v>
      </c>
      <c r="I182" s="12"/>
    </row>
    <row r="183" spans="2:12">
      <c r="B183" s="8">
        <v>46356</v>
      </c>
      <c r="C183" s="2" t="str">
        <f t="shared" si="16"/>
        <v>Nov</v>
      </c>
      <c r="D183" t="str">
        <f>_xlfn.XLOOKUP(Table1[[#This Row],[Category]],Table2[Type],Table2[Cash Flow])</f>
        <v>Expense</v>
      </c>
      <c r="E183" t="s">
        <v>13</v>
      </c>
      <c r="F183" s="3">
        <v>7000</v>
      </c>
      <c r="G183" s="3">
        <v>7000</v>
      </c>
      <c r="H183" s="3" t="str">
        <f>_xlfn.XLOOKUP(Table1[[#This Row],[Category]],Table2[Type],Table2[Sub Type])</f>
        <v>Financial Priority</v>
      </c>
      <c r="I183" t="s">
        <v>59</v>
      </c>
    </row>
    <row r="184" spans="2:12">
      <c r="B184" s="8">
        <v>46356</v>
      </c>
      <c r="C184" s="2" t="str">
        <f t="shared" si="16"/>
        <v>Nov</v>
      </c>
      <c r="D184" t="str">
        <f>_xlfn.XLOOKUP(Table1[[#This Row],[Category]],Table2[Type],Table2[Cash Flow])</f>
        <v>Expense</v>
      </c>
      <c r="E184" t="s">
        <v>31</v>
      </c>
      <c r="F184" s="3">
        <v>3460</v>
      </c>
      <c r="G184" s="3">
        <v>3460</v>
      </c>
      <c r="H184" s="3" t="str">
        <f>_xlfn.XLOOKUP(Table1[[#This Row],[Category]],Table2[Type],Table2[Sub Type])</f>
        <v>Financial Priority</v>
      </c>
      <c r="I184" t="s">
        <v>40</v>
      </c>
      <c r="K184" s="14"/>
    </row>
    <row r="185" spans="2:12">
      <c r="B185" s="8">
        <v>46356</v>
      </c>
      <c r="C185" s="2" t="str">
        <f t="shared" si="16"/>
        <v>Nov</v>
      </c>
      <c r="D185" t="str">
        <f>_xlfn.XLOOKUP(Table1[[#This Row],[Category]],Table2[Type],Table2[Cash Flow])</f>
        <v>Expense</v>
      </c>
      <c r="E185" t="s">
        <v>5</v>
      </c>
      <c r="F185" s="3">
        <v>2500</v>
      </c>
      <c r="G185" s="3">
        <v>2500</v>
      </c>
      <c r="H185" s="3" t="str">
        <f>_xlfn.XLOOKUP(Table1[[#This Row],[Category]],Table2[Type],Table2[Sub Type])</f>
        <v>Needs</v>
      </c>
      <c r="I185" t="s">
        <v>37</v>
      </c>
    </row>
    <row r="186" spans="2:12">
      <c r="B186" s="8">
        <v>46356</v>
      </c>
      <c r="C186" s="2" t="str">
        <f t="shared" si="16"/>
        <v>Nov</v>
      </c>
      <c r="D186" t="str">
        <f>_xlfn.XLOOKUP(Table1[[#This Row],[Category]],Table2[Type],Table2[Cash Flow])</f>
        <v>Expense</v>
      </c>
      <c r="E186" t="s">
        <v>5</v>
      </c>
      <c r="F186" s="3">
        <v>1800</v>
      </c>
      <c r="G186" s="3">
        <v>1800</v>
      </c>
      <c r="H186" s="3" t="str">
        <f>_xlfn.XLOOKUP(Table1[[#This Row],[Category]],Table2[Type],Table2[Sub Type])</f>
        <v>Needs</v>
      </c>
      <c r="I186" t="s">
        <v>28</v>
      </c>
    </row>
    <row r="187" spans="2:12">
      <c r="B187" s="8">
        <v>46356</v>
      </c>
      <c r="C187" s="2" t="str">
        <f t="shared" si="16"/>
        <v>Nov</v>
      </c>
      <c r="D187" t="str">
        <f>_xlfn.XLOOKUP(Table1[[#This Row],[Category]],Table2[Type],Table2[Cash Flow])</f>
        <v>Expense</v>
      </c>
      <c r="E187" t="s">
        <v>5</v>
      </c>
      <c r="F187" s="3">
        <v>500</v>
      </c>
      <c r="G187" s="3">
        <v>500</v>
      </c>
      <c r="H187" s="3" t="str">
        <f>_xlfn.XLOOKUP(Table1[[#This Row],[Category]],Table2[Type],Table2[Sub Type])</f>
        <v>Needs</v>
      </c>
      <c r="I187" t="s">
        <v>38</v>
      </c>
      <c r="L187" s="3"/>
    </row>
    <row r="188" spans="2:12">
      <c r="B188" s="8">
        <v>46356</v>
      </c>
      <c r="C188" s="2" t="str">
        <f t="shared" si="16"/>
        <v>Nov</v>
      </c>
      <c r="D188" t="str">
        <f>_xlfn.XLOOKUP(Table1[[#This Row],[Category]],Table2[Type],Table2[Cash Flow])</f>
        <v>Expense</v>
      </c>
      <c r="E188" t="s">
        <v>4</v>
      </c>
      <c r="F188" s="3">
        <v>500</v>
      </c>
      <c r="G188" s="3">
        <v>500</v>
      </c>
      <c r="H188" s="3" t="str">
        <f>_xlfn.XLOOKUP(Table1[[#This Row],[Category]],Table2[Type],Table2[Sub Type])</f>
        <v>Financial Priority</v>
      </c>
      <c r="I188" t="s">
        <v>30</v>
      </c>
      <c r="L188" s="3"/>
    </row>
    <row r="189" spans="2:12">
      <c r="B189" s="8">
        <v>46356</v>
      </c>
      <c r="C189" s="2" t="str">
        <f t="shared" si="16"/>
        <v>Nov</v>
      </c>
      <c r="D189" t="str">
        <f>_xlfn.XLOOKUP(Table1[[#This Row],[Category]],Table2[Type],Table2[Cash Flow])</f>
        <v>Expense</v>
      </c>
      <c r="E189" t="s">
        <v>15</v>
      </c>
      <c r="F189" s="3">
        <v>500</v>
      </c>
      <c r="G189" s="3">
        <v>500</v>
      </c>
      <c r="H189" s="3" t="str">
        <f>_xlfn.XLOOKUP(Table1[[#This Row],[Category]],Table2[Type],Table2[Sub Type])</f>
        <v>Needs</v>
      </c>
      <c r="I189" t="s">
        <v>53</v>
      </c>
    </row>
    <row r="190" spans="2:12">
      <c r="B190" s="8">
        <v>46356</v>
      </c>
      <c r="C190" s="2" t="str">
        <f t="shared" si="16"/>
        <v>Nov</v>
      </c>
      <c r="D190" t="str">
        <f>_xlfn.XLOOKUP(Table1[[#This Row],[Category]],Table2[Type],Table2[Cash Flow])</f>
        <v>Expense</v>
      </c>
      <c r="E190" t="s">
        <v>14</v>
      </c>
      <c r="F190" s="3">
        <v>1000</v>
      </c>
      <c r="G190" s="3">
        <v>1000</v>
      </c>
      <c r="H190" s="3" t="str">
        <f>_xlfn.XLOOKUP(Table1[[#This Row],[Category]],Table2[Type],Table2[Sub Type])</f>
        <v>Needs</v>
      </c>
      <c r="I190" t="s">
        <v>14</v>
      </c>
    </row>
    <row r="191" spans="2:12">
      <c r="B191" s="8">
        <v>46356</v>
      </c>
      <c r="C191" s="2" t="str">
        <f>TEXT(B191,"mmm")</f>
        <v>Nov</v>
      </c>
      <c r="D191" t="str">
        <f>_xlfn.XLOOKUP(Table1[[#This Row],[Category]],Table2[Type],Table2[Cash Flow])</f>
        <v>Expense</v>
      </c>
      <c r="E191" t="s">
        <v>57</v>
      </c>
      <c r="F191" s="3">
        <v>1000</v>
      </c>
      <c r="G191" s="3">
        <v>1000</v>
      </c>
      <c r="H191" s="3" t="str">
        <f>_xlfn.XLOOKUP(Table1[[#This Row],[Category]],Table2[Type],Table2[Sub Type])</f>
        <v>Financial Priority</v>
      </c>
      <c r="I191" t="s">
        <v>57</v>
      </c>
    </row>
    <row r="192" spans="2:12">
      <c r="B192" s="9">
        <v>46371</v>
      </c>
      <c r="C192" s="10" t="str">
        <f t="shared" ref="C192:C212" si="18">TEXT(B192,"mmm")</f>
        <v>Dec</v>
      </c>
      <c r="D192" s="12" t="str">
        <f>_xlfn.XLOOKUP(Table1[[#This Row],[Category]],Table2[Type],Table2[Cash Flow])</f>
        <v>Income</v>
      </c>
      <c r="E192" s="12" t="s">
        <v>25</v>
      </c>
      <c r="F192" s="11">
        <v>16500</v>
      </c>
      <c r="G192" s="11"/>
      <c r="H192" s="11" t="str">
        <f>_xlfn.XLOOKUP(Table1[[#This Row],[Category]],Table2[Type],Table2[Sub Type])</f>
        <v>Salary</v>
      </c>
      <c r="I192" s="12"/>
    </row>
    <row r="193" spans="2:12">
      <c r="B193" s="9">
        <v>46371</v>
      </c>
      <c r="C193" s="10" t="str">
        <f t="shared" si="18"/>
        <v>Dec</v>
      </c>
      <c r="D193" s="12" t="str">
        <f>_xlfn.XLOOKUP(Table1[[#This Row],[Category]],Table2[Type],Table2[Cash Flow])</f>
        <v>Income</v>
      </c>
      <c r="E193" s="12" t="s">
        <v>26</v>
      </c>
      <c r="F193" s="11">
        <v>8000</v>
      </c>
      <c r="G193" s="11"/>
      <c r="H193" s="11" t="str">
        <f>_xlfn.XLOOKUP(Table1[[#This Row],[Category]],Table2[Type],Table2[Sub Type])</f>
        <v>Salary</v>
      </c>
      <c r="I193" s="12"/>
    </row>
    <row r="194" spans="2:12">
      <c r="B194" s="8">
        <v>46372</v>
      </c>
      <c r="C194" s="2" t="str">
        <f t="shared" si="18"/>
        <v>Dec</v>
      </c>
      <c r="D194" t="str">
        <f>_xlfn.XLOOKUP(Table1[[#This Row],[Category]],Table2[Type],Table2[Cash Flow])</f>
        <v>Expense</v>
      </c>
      <c r="E194" t="s">
        <v>9</v>
      </c>
      <c r="F194" s="3">
        <v>10000</v>
      </c>
      <c r="G194" s="3">
        <v>10000</v>
      </c>
      <c r="H194" s="3" t="str">
        <f>_xlfn.XLOOKUP(Table1[[#This Row],[Category]],Table2[Type],Table2[Sub Type])</f>
        <v>Financial Priority</v>
      </c>
      <c r="I194" t="s">
        <v>46</v>
      </c>
    </row>
    <row r="195" spans="2:12">
      <c r="B195" s="8">
        <v>46372</v>
      </c>
      <c r="C195" s="2" t="str">
        <f t="shared" si="18"/>
        <v>Dec</v>
      </c>
      <c r="D195" t="str">
        <f>_xlfn.XLOOKUP(Table1[[#This Row],[Category]],Table2[Type],Table2[Cash Flow])</f>
        <v>Expense</v>
      </c>
      <c r="E195" t="s">
        <v>4</v>
      </c>
      <c r="F195" s="3">
        <v>899</v>
      </c>
      <c r="G195" s="3">
        <v>899</v>
      </c>
      <c r="H195" s="3" t="str">
        <f>_xlfn.XLOOKUP(Table1[[#This Row],[Category]],Table2[Type],Table2[Sub Type])</f>
        <v>Financial Priority</v>
      </c>
      <c r="I195" t="s">
        <v>27</v>
      </c>
      <c r="K195" s="14"/>
    </row>
    <row r="196" spans="2:12">
      <c r="B196" s="8">
        <v>46372</v>
      </c>
      <c r="C196" s="2" t="str">
        <f t="shared" si="18"/>
        <v>Dec</v>
      </c>
      <c r="D196" t="str">
        <f>_xlfn.XLOOKUP(Table1[[#This Row],[Category]],Table2[Type],Table2[Cash Flow])</f>
        <v>Expense</v>
      </c>
      <c r="E196" t="s">
        <v>5</v>
      </c>
      <c r="F196" s="3">
        <v>1800</v>
      </c>
      <c r="G196" s="3">
        <v>1800</v>
      </c>
      <c r="H196" s="3" t="str">
        <f>_xlfn.XLOOKUP(Table1[[#This Row],[Category]],Table2[Type],Table2[Sub Type])</f>
        <v>Needs</v>
      </c>
      <c r="I196" t="s">
        <v>28</v>
      </c>
    </row>
    <row r="197" spans="2:12">
      <c r="B197" s="8">
        <v>46372</v>
      </c>
      <c r="C197" s="2" t="str">
        <f t="shared" si="18"/>
        <v>Dec</v>
      </c>
      <c r="D197" t="str">
        <f>_xlfn.XLOOKUP(Table1[[#This Row],[Category]],Table2[Type],Table2[Cash Flow])</f>
        <v>Expense</v>
      </c>
      <c r="E197" t="s">
        <v>4</v>
      </c>
      <c r="F197" s="3">
        <v>2000</v>
      </c>
      <c r="G197" s="3">
        <v>2000</v>
      </c>
      <c r="H197" s="3" t="str">
        <f>_xlfn.XLOOKUP(Table1[[#This Row],[Category]],Table2[Type],Table2[Sub Type])</f>
        <v>Financial Priority</v>
      </c>
      <c r="I197" t="s">
        <v>39</v>
      </c>
    </row>
    <row r="198" spans="2:12">
      <c r="B198" s="8">
        <v>46372</v>
      </c>
      <c r="C198" s="2" t="str">
        <f t="shared" si="18"/>
        <v>Dec</v>
      </c>
      <c r="D198" t="str">
        <f>_xlfn.XLOOKUP(Table1[[#This Row],[Category]],Table2[Type],Table2[Cash Flow])</f>
        <v>Expense</v>
      </c>
      <c r="E198" t="s">
        <v>15</v>
      </c>
      <c r="F198" s="3">
        <v>500</v>
      </c>
      <c r="G198" s="3">
        <v>500</v>
      </c>
      <c r="H198" s="3" t="str">
        <f>_xlfn.XLOOKUP(Table1[[#This Row],[Category]],Table2[Type],Table2[Sub Type])</f>
        <v>Needs</v>
      </c>
      <c r="I198" t="s">
        <v>50</v>
      </c>
      <c r="L198" s="3"/>
    </row>
    <row r="199" spans="2:12">
      <c r="B199" s="8">
        <v>46372</v>
      </c>
      <c r="C199" s="2" t="str">
        <f>TEXT(B199,"mmm")</f>
        <v>Dec</v>
      </c>
      <c r="D199" t="str">
        <f>_xlfn.XLOOKUP(Table1[[#This Row],[Category]],Table2[Type],Table2[Cash Flow])</f>
        <v>Expense</v>
      </c>
      <c r="E199" t="s">
        <v>5</v>
      </c>
      <c r="F199" s="3">
        <v>500</v>
      </c>
      <c r="G199" s="3">
        <v>500</v>
      </c>
      <c r="H199" s="3" t="str">
        <f>_xlfn.XLOOKUP(Table1[[#This Row],[Category]],Table2[Type],Table2[Sub Type])</f>
        <v>Needs</v>
      </c>
      <c r="I199" t="s">
        <v>47</v>
      </c>
      <c r="L199" s="3"/>
    </row>
    <row r="200" spans="2:12">
      <c r="B200" s="8">
        <v>46372</v>
      </c>
      <c r="C200" s="2" t="str">
        <f t="shared" ref="C200" si="19">TEXT(B200,"mmm")</f>
        <v>Dec</v>
      </c>
      <c r="D200" t="str">
        <f>_xlfn.XLOOKUP(Table1[[#This Row],[Category]],Table2[Type],Table2[Cash Flow])</f>
        <v>Expense</v>
      </c>
      <c r="E200" t="s">
        <v>5</v>
      </c>
      <c r="F200" s="3">
        <v>2500</v>
      </c>
      <c r="G200" s="3">
        <v>2500</v>
      </c>
      <c r="H200" s="3" t="str">
        <f>_xlfn.XLOOKUP(Table1[[#This Row],[Category]],Table2[Type],Table2[Sub Type])</f>
        <v>Needs</v>
      </c>
      <c r="I200" t="s">
        <v>33</v>
      </c>
    </row>
    <row r="201" spans="2:12">
      <c r="B201" s="8">
        <v>46372</v>
      </c>
      <c r="C201" s="2" t="str">
        <f>TEXT(B201,"mmm")</f>
        <v>Dec</v>
      </c>
      <c r="D201" t="str">
        <f>_xlfn.XLOOKUP(Table1[[#This Row],[Category]],Table2[Type],Table2[Cash Flow])</f>
        <v>Expense</v>
      </c>
      <c r="E201" t="s">
        <v>52</v>
      </c>
      <c r="F201" s="3">
        <v>1000</v>
      </c>
      <c r="G201" s="3">
        <v>1000</v>
      </c>
      <c r="H201" s="3" t="str">
        <f>_xlfn.XLOOKUP(Table1[[#This Row],[Category]],Table2[Type],Table2[Sub Type])</f>
        <v>Needs</v>
      </c>
      <c r="I201" t="s">
        <v>52</v>
      </c>
    </row>
    <row r="202" spans="2:12">
      <c r="B202" s="20">
        <v>46372</v>
      </c>
      <c r="C202" s="21" t="str">
        <f>TEXT(B202,"mmm")</f>
        <v>Dec</v>
      </c>
      <c r="D202" s="23" t="str">
        <f>_xlfn.XLOOKUP(Table1[[#This Row],[Category]],Table2[Type],Table2[Cash Flow])</f>
        <v>Expense</v>
      </c>
      <c r="E202" s="23" t="s">
        <v>21</v>
      </c>
      <c r="F202" s="22">
        <v>4000</v>
      </c>
      <c r="G202" s="22">
        <v>4000</v>
      </c>
      <c r="H202" s="22" t="str">
        <f>_xlfn.XLOOKUP(Table1[[#This Row],[Category]],Table2[Type],Table2[Sub Type])</f>
        <v>Wants</v>
      </c>
      <c r="I202" s="23" t="s">
        <v>71</v>
      </c>
    </row>
    <row r="203" spans="2:12">
      <c r="B203" s="9">
        <v>46386</v>
      </c>
      <c r="C203" s="10" t="str">
        <f t="shared" si="18"/>
        <v>Dec</v>
      </c>
      <c r="D203" s="12" t="str">
        <f>_xlfn.XLOOKUP(Table1[[#This Row],[Category]],Table2[Type],Table2[Cash Flow])</f>
        <v>Income</v>
      </c>
      <c r="E203" s="12" t="s">
        <v>25</v>
      </c>
      <c r="F203" s="11">
        <v>16500</v>
      </c>
      <c r="G203" s="11"/>
      <c r="H203" s="11" t="str">
        <f>_xlfn.XLOOKUP(Table1[[#This Row],[Category]],Table2[Type],Table2[Sub Type])</f>
        <v>Salary</v>
      </c>
      <c r="I203" s="12"/>
    </row>
    <row r="204" spans="2:12">
      <c r="B204" s="9">
        <v>46386</v>
      </c>
      <c r="C204" s="10" t="str">
        <f t="shared" si="18"/>
        <v>Dec</v>
      </c>
      <c r="D204" s="12" t="str">
        <f>_xlfn.XLOOKUP(Table1[[#This Row],[Category]],Table2[Type],Table2[Cash Flow])</f>
        <v>Income</v>
      </c>
      <c r="E204" s="12" t="s">
        <v>26</v>
      </c>
      <c r="F204" s="11">
        <v>8000</v>
      </c>
      <c r="G204" s="11"/>
      <c r="H204" s="11" t="str">
        <f>_xlfn.XLOOKUP(Table1[[#This Row],[Category]],Table2[Type],Table2[Sub Type])</f>
        <v>Salary</v>
      </c>
      <c r="I204" s="12"/>
    </row>
    <row r="205" spans="2:12">
      <c r="B205" s="8">
        <v>46386</v>
      </c>
      <c r="C205" s="2" t="str">
        <f t="shared" si="18"/>
        <v>Dec</v>
      </c>
      <c r="D205" t="str">
        <f>_xlfn.XLOOKUP(Table1[[#This Row],[Category]],Table2[Type],Table2[Cash Flow])</f>
        <v>Expense</v>
      </c>
      <c r="E205" t="s">
        <v>13</v>
      </c>
      <c r="F205" s="3">
        <v>7000</v>
      </c>
      <c r="G205" s="3">
        <v>7000</v>
      </c>
      <c r="H205" s="3" t="str">
        <f>_xlfn.XLOOKUP(Table1[[#This Row],[Category]],Table2[Type],Table2[Sub Type])</f>
        <v>Financial Priority</v>
      </c>
      <c r="I205" t="s">
        <v>59</v>
      </c>
    </row>
    <row r="206" spans="2:12">
      <c r="B206" s="8">
        <v>46386</v>
      </c>
      <c r="C206" s="2" t="str">
        <f t="shared" si="18"/>
        <v>Dec</v>
      </c>
      <c r="D206" t="str">
        <f>_xlfn.XLOOKUP(Table1[[#This Row],[Category]],Table2[Type],Table2[Cash Flow])</f>
        <v>Expense</v>
      </c>
      <c r="E206" t="s">
        <v>31</v>
      </c>
      <c r="F206" s="3">
        <v>3460</v>
      </c>
      <c r="G206" s="3">
        <v>3460</v>
      </c>
      <c r="H206" s="3" t="str">
        <f>_xlfn.XLOOKUP(Table1[[#This Row],[Category]],Table2[Type],Table2[Sub Type])</f>
        <v>Financial Priority</v>
      </c>
      <c r="I206" t="s">
        <v>40</v>
      </c>
      <c r="K206" s="14"/>
    </row>
    <row r="207" spans="2:12">
      <c r="B207" s="8">
        <v>46386</v>
      </c>
      <c r="C207" s="2" t="str">
        <f t="shared" si="18"/>
        <v>Dec</v>
      </c>
      <c r="D207" t="str">
        <f>_xlfn.XLOOKUP(Table1[[#This Row],[Category]],Table2[Type],Table2[Cash Flow])</f>
        <v>Expense</v>
      </c>
      <c r="E207" t="s">
        <v>5</v>
      </c>
      <c r="F207" s="3">
        <v>2500</v>
      </c>
      <c r="G207" s="3">
        <v>2500</v>
      </c>
      <c r="H207" s="3" t="str">
        <f>_xlfn.XLOOKUP(Table1[[#This Row],[Category]],Table2[Type],Table2[Sub Type])</f>
        <v>Needs</v>
      </c>
      <c r="I207" t="s">
        <v>37</v>
      </c>
    </row>
    <row r="208" spans="2:12">
      <c r="B208" s="8">
        <v>46386</v>
      </c>
      <c r="C208" s="2" t="str">
        <f t="shared" si="18"/>
        <v>Dec</v>
      </c>
      <c r="D208" t="str">
        <f>_xlfn.XLOOKUP(Table1[[#This Row],[Category]],Table2[Type],Table2[Cash Flow])</f>
        <v>Expense</v>
      </c>
      <c r="E208" t="s">
        <v>5</v>
      </c>
      <c r="F208" s="3">
        <v>1800</v>
      </c>
      <c r="G208" s="3">
        <v>1800</v>
      </c>
      <c r="H208" s="3" t="str">
        <f>_xlfn.XLOOKUP(Table1[[#This Row],[Category]],Table2[Type],Table2[Sub Type])</f>
        <v>Needs</v>
      </c>
      <c r="I208" t="s">
        <v>28</v>
      </c>
    </row>
    <row r="209" spans="2:12">
      <c r="B209" s="8">
        <v>46386</v>
      </c>
      <c r="C209" s="2" t="str">
        <f t="shared" si="18"/>
        <v>Dec</v>
      </c>
      <c r="D209" t="str">
        <f>_xlfn.XLOOKUP(Table1[[#This Row],[Category]],Table2[Type],Table2[Cash Flow])</f>
        <v>Expense</v>
      </c>
      <c r="E209" t="s">
        <v>5</v>
      </c>
      <c r="F209" s="3">
        <v>500</v>
      </c>
      <c r="G209" s="3">
        <v>500</v>
      </c>
      <c r="H209" s="3" t="str">
        <f>_xlfn.XLOOKUP(Table1[[#This Row],[Category]],Table2[Type],Table2[Sub Type])</f>
        <v>Needs</v>
      </c>
      <c r="I209" t="s">
        <v>38</v>
      </c>
      <c r="L209" s="3"/>
    </row>
    <row r="210" spans="2:12">
      <c r="B210" s="8">
        <v>46386</v>
      </c>
      <c r="C210" s="2" t="str">
        <f t="shared" si="18"/>
        <v>Dec</v>
      </c>
      <c r="D210" t="str">
        <f>_xlfn.XLOOKUP(Table1[[#This Row],[Category]],Table2[Type],Table2[Cash Flow])</f>
        <v>Expense</v>
      </c>
      <c r="E210" t="s">
        <v>4</v>
      </c>
      <c r="F210" s="3">
        <v>500</v>
      </c>
      <c r="G210" s="3">
        <v>500</v>
      </c>
      <c r="H210" s="3" t="str">
        <f>_xlfn.XLOOKUP(Table1[[#This Row],[Category]],Table2[Type],Table2[Sub Type])</f>
        <v>Financial Priority</v>
      </c>
      <c r="I210" t="s">
        <v>30</v>
      </c>
      <c r="L210" s="3"/>
    </row>
    <row r="211" spans="2:12">
      <c r="B211" s="8">
        <v>46386</v>
      </c>
      <c r="C211" s="2" t="str">
        <f t="shared" si="18"/>
        <v>Dec</v>
      </c>
      <c r="D211" t="str">
        <f>_xlfn.XLOOKUP(Table1[[#This Row],[Category]],Table2[Type],Table2[Cash Flow])</f>
        <v>Expense</v>
      </c>
      <c r="E211" t="s">
        <v>15</v>
      </c>
      <c r="F211" s="3">
        <v>500</v>
      </c>
      <c r="G211" s="3">
        <v>500</v>
      </c>
      <c r="H211" s="3" t="str">
        <f>_xlfn.XLOOKUP(Table1[[#This Row],[Category]],Table2[Type],Table2[Sub Type])</f>
        <v>Needs</v>
      </c>
      <c r="I211" t="s">
        <v>53</v>
      </c>
    </row>
    <row r="212" spans="2:12">
      <c r="B212" s="8">
        <v>46386</v>
      </c>
      <c r="C212" s="2" t="str">
        <f t="shared" si="18"/>
        <v>Dec</v>
      </c>
      <c r="D212" t="str">
        <f>_xlfn.XLOOKUP(Table1[[#This Row],[Category]],Table2[Type],Table2[Cash Flow])</f>
        <v>Expense</v>
      </c>
      <c r="E212" t="s">
        <v>14</v>
      </c>
      <c r="F212" s="3">
        <v>1000</v>
      </c>
      <c r="G212" s="3">
        <v>1000</v>
      </c>
      <c r="H212" s="3" t="str">
        <f>_xlfn.XLOOKUP(Table1[[#This Row],[Category]],Table2[Type],Table2[Sub Type])</f>
        <v>Needs</v>
      </c>
      <c r="I212" t="s">
        <v>14</v>
      </c>
    </row>
    <row r="213" spans="2:12">
      <c r="B213" s="8">
        <v>46386</v>
      </c>
      <c r="C213" s="2" t="str">
        <f>TEXT(B213,"mmm")</f>
        <v>Dec</v>
      </c>
      <c r="D213" t="str">
        <f>_xlfn.XLOOKUP(Table1[[#This Row],[Category]],Table2[Type],Table2[Cash Flow])</f>
        <v>Expense</v>
      </c>
      <c r="E213" t="s">
        <v>57</v>
      </c>
      <c r="F213" s="3">
        <v>1000</v>
      </c>
      <c r="G213" s="3">
        <v>1000</v>
      </c>
      <c r="H213" s="3" t="str">
        <f>_xlfn.XLOOKUP(Table1[[#This Row],[Category]],Table2[Type],Table2[Sub Type])</f>
        <v>Financial Priority</v>
      </c>
      <c r="I213" t="s">
        <v>57</v>
      </c>
    </row>
    <row r="214" spans="2:12">
      <c r="B214" s="20">
        <v>46386</v>
      </c>
      <c r="C214" s="21" t="str">
        <f>TEXT(B214,"mmm")</f>
        <v>Dec</v>
      </c>
      <c r="D214" s="23" t="str">
        <f>_xlfn.XLOOKUP(Table1[[#This Row],[Category]],Table2[Type],Table2[Cash Flow])</f>
        <v>Expense</v>
      </c>
      <c r="E214" s="23" t="s">
        <v>21</v>
      </c>
      <c r="F214" s="22">
        <v>4000</v>
      </c>
      <c r="G214" s="22">
        <v>4000</v>
      </c>
      <c r="H214" s="22" t="str">
        <f>_xlfn.XLOOKUP(Table1[[#This Row],[Category]],Table2[Type],Table2[Sub Type])</f>
        <v>Wants</v>
      </c>
      <c r="I214" s="23" t="s">
        <v>72</v>
      </c>
    </row>
    <row r="215" spans="2:12">
      <c r="B215" s="9">
        <v>46402</v>
      </c>
      <c r="C215" s="10" t="str">
        <f>TEXT(B215,"mmm")</f>
        <v>Jan</v>
      </c>
      <c r="D215" s="12" t="str">
        <f>_xlfn.XLOOKUP(Table1[[#This Row],[Category]],Table2[Type],Table2[Cash Flow])</f>
        <v>Income</v>
      </c>
      <c r="E215" s="12" t="s">
        <v>25</v>
      </c>
      <c r="F215" s="11">
        <v>16500</v>
      </c>
      <c r="G215" s="11"/>
      <c r="H215" s="11" t="str">
        <f>_xlfn.XLOOKUP(Table1[[#This Row],[Category]],Table2[Type],Table2[Sub Type])</f>
        <v>Salary</v>
      </c>
      <c r="I215" s="12"/>
    </row>
    <row r="216" spans="2:12">
      <c r="B216" s="9">
        <v>46402</v>
      </c>
      <c r="C216" s="10" t="str">
        <f>TEXT(B216,"mmm")</f>
        <v>Jan</v>
      </c>
      <c r="D216" s="12" t="str">
        <f>_xlfn.XLOOKUP(Table1[[#This Row],[Category]],Table2[Type],Table2[Cash Flow])</f>
        <v>Income</v>
      </c>
      <c r="E216" s="12" t="s">
        <v>26</v>
      </c>
      <c r="F216" s="11">
        <v>7000</v>
      </c>
      <c r="G216" s="11"/>
      <c r="H216" s="11" t="str">
        <f>_xlfn.XLOOKUP(Table1[[#This Row],[Category]],Table2[Type],Table2[Sub Type])</f>
        <v>Salary</v>
      </c>
      <c r="I216" s="12"/>
    </row>
    <row r="217" spans="2:12">
      <c r="B217" s="8">
        <v>46402</v>
      </c>
      <c r="C217" s="2" t="str">
        <f>TEXT(B217,"mmm")</f>
        <v>Jan</v>
      </c>
      <c r="D217" s="2" t="str">
        <f>_xlfn.XLOOKUP(Table1[[#This Row],[Category]],Table2[Type],Table2[Cash Flow])</f>
        <v>Expense</v>
      </c>
      <c r="E217" t="s">
        <v>9</v>
      </c>
      <c r="F217" s="3">
        <v>10000</v>
      </c>
      <c r="G217" s="3">
        <v>10000</v>
      </c>
      <c r="H217" s="3" t="str">
        <f>_xlfn.XLOOKUP(Table1[[#This Row],[Category]],Table2[Type],Table2[Sub Type])</f>
        <v>Financial Priority</v>
      </c>
    </row>
    <row r="218" spans="2:12">
      <c r="C218"/>
      <c r="D218"/>
      <c r="F218"/>
      <c r="G218"/>
      <c r="H218"/>
    </row>
    <row r="219" spans="2:12">
      <c r="C219"/>
      <c r="D219"/>
      <c r="F219"/>
      <c r="G219"/>
      <c r="H219"/>
    </row>
    <row r="220" spans="2:12">
      <c r="C220"/>
      <c r="D220"/>
      <c r="F220"/>
      <c r="G220"/>
      <c r="H220"/>
    </row>
    <row r="221" spans="2:12">
      <c r="C221"/>
      <c r="D221"/>
      <c r="F221"/>
      <c r="G221"/>
      <c r="H221"/>
    </row>
    <row r="222" spans="2:12">
      <c r="C222"/>
      <c r="D222"/>
      <c r="F222"/>
      <c r="G222"/>
      <c r="H222"/>
    </row>
    <row r="223" spans="2:12">
      <c r="C223"/>
      <c r="D223"/>
      <c r="F223"/>
      <c r="G223"/>
      <c r="H223"/>
    </row>
    <row r="224" spans="2:12">
      <c r="C224"/>
      <c r="D224"/>
      <c r="F224"/>
      <c r="G224"/>
      <c r="H224"/>
    </row>
    <row r="225" spans="3:14">
      <c r="C225"/>
      <c r="D225"/>
      <c r="F225"/>
      <c r="G225"/>
      <c r="H225"/>
      <c r="L225"/>
      <c r="M225"/>
      <c r="N225"/>
    </row>
    <row r="226" spans="3:14">
      <c r="C226"/>
      <c r="D226"/>
      <c r="F226"/>
      <c r="G226"/>
      <c r="H226"/>
      <c r="L226"/>
      <c r="M226"/>
      <c r="N226"/>
    </row>
    <row r="227" spans="3:14">
      <c r="C227"/>
      <c r="D227"/>
      <c r="F227"/>
      <c r="G227"/>
      <c r="H227"/>
      <c r="L227"/>
      <c r="M227"/>
      <c r="N227"/>
    </row>
    <row r="228" spans="3:14">
      <c r="C228"/>
      <c r="D228"/>
      <c r="F228"/>
      <c r="G228"/>
      <c r="H228"/>
      <c r="L228"/>
      <c r="M228"/>
      <c r="N228"/>
    </row>
    <row r="229" spans="3:14">
      <c r="C229"/>
      <c r="D229"/>
      <c r="F229"/>
      <c r="G229"/>
      <c r="H229"/>
      <c r="L229"/>
      <c r="M229"/>
      <c r="N229"/>
    </row>
    <row r="230" spans="3:14">
      <c r="C230"/>
      <c r="D230"/>
      <c r="F230"/>
      <c r="G230"/>
      <c r="H230"/>
      <c r="L230"/>
      <c r="M230"/>
      <c r="N230"/>
    </row>
    <row r="231" spans="3:14">
      <c r="C231"/>
      <c r="D231"/>
      <c r="F231"/>
      <c r="G231"/>
      <c r="H231"/>
      <c r="L231"/>
      <c r="M231"/>
      <c r="N231"/>
    </row>
    <row r="232" spans="3:14">
      <c r="C232"/>
      <c r="D232"/>
      <c r="F232"/>
      <c r="G232"/>
      <c r="H232"/>
      <c r="L232"/>
      <c r="M232"/>
      <c r="N232"/>
    </row>
    <row r="233" spans="3:14">
      <c r="C233"/>
      <c r="D233"/>
      <c r="F233"/>
      <c r="G233"/>
      <c r="H233"/>
      <c r="L233"/>
      <c r="M233"/>
      <c r="N233"/>
    </row>
    <row r="234" spans="3:14">
      <c r="C234"/>
      <c r="D234"/>
      <c r="F234"/>
      <c r="G234"/>
      <c r="H234"/>
      <c r="L234"/>
      <c r="M234"/>
      <c r="N234"/>
    </row>
    <row r="235" spans="3:14">
      <c r="C235"/>
      <c r="D235"/>
      <c r="F235"/>
      <c r="G235"/>
      <c r="H235"/>
      <c r="L235"/>
      <c r="M235"/>
      <c r="N235"/>
    </row>
    <row r="236" spans="3:14">
      <c r="C236"/>
      <c r="D236"/>
      <c r="F236"/>
      <c r="G236"/>
      <c r="H236"/>
      <c r="L236"/>
      <c r="M236"/>
      <c r="N236"/>
    </row>
    <row r="237" spans="3:14">
      <c r="C237"/>
      <c r="D237"/>
      <c r="F237"/>
      <c r="G237"/>
      <c r="H237"/>
      <c r="L237"/>
      <c r="M237"/>
      <c r="N237"/>
    </row>
    <row r="238" spans="3:14">
      <c r="C238"/>
      <c r="D238"/>
      <c r="F238"/>
      <c r="G238"/>
      <c r="H238"/>
    </row>
    <row r="239" spans="3:14">
      <c r="C239"/>
      <c r="D239"/>
      <c r="F239"/>
      <c r="G239"/>
      <c r="H239"/>
    </row>
    <row r="240" spans="3:14">
      <c r="C240"/>
      <c r="D240"/>
      <c r="F240"/>
      <c r="G240"/>
      <c r="H240"/>
      <c r="L240"/>
      <c r="M240"/>
      <c r="N240"/>
    </row>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spans="3:14">
      <c r="C257"/>
      <c r="D257"/>
      <c r="F257"/>
      <c r="G257"/>
      <c r="H257"/>
      <c r="L257"/>
      <c r="M257"/>
      <c r="N257"/>
    </row>
    <row r="258" spans="3:14">
      <c r="C258"/>
      <c r="D258"/>
      <c r="F258"/>
      <c r="G258"/>
      <c r="H258"/>
      <c r="L258"/>
      <c r="M258"/>
      <c r="N258"/>
    </row>
    <row r="259" spans="3:14">
      <c r="C259"/>
      <c r="D259"/>
      <c r="F259"/>
      <c r="G259"/>
      <c r="H259"/>
      <c r="L259"/>
      <c r="M259"/>
      <c r="N259"/>
    </row>
    <row r="260" spans="3:14">
      <c r="C260"/>
      <c r="D260"/>
      <c r="F260"/>
      <c r="G260"/>
      <c r="H260"/>
      <c r="L260"/>
      <c r="M260"/>
      <c r="N260"/>
    </row>
    <row r="261" spans="3:14">
      <c r="C261"/>
      <c r="D261"/>
      <c r="F261"/>
      <c r="G261"/>
      <c r="H261"/>
      <c r="L261"/>
      <c r="M261"/>
      <c r="N261"/>
    </row>
    <row r="262" spans="3:14">
      <c r="C262"/>
      <c r="D262"/>
      <c r="F262"/>
      <c r="G262"/>
      <c r="H262"/>
      <c r="L262"/>
      <c r="M262"/>
      <c r="N262"/>
    </row>
    <row r="263" spans="3:14">
      <c r="C263"/>
      <c r="D263"/>
      <c r="F263"/>
      <c r="G263"/>
      <c r="H263"/>
      <c r="L263"/>
      <c r="M263"/>
      <c r="N263"/>
    </row>
    <row r="264" spans="3:14">
      <c r="C264"/>
      <c r="D264"/>
      <c r="F264"/>
      <c r="G264"/>
      <c r="H264"/>
      <c r="L264"/>
      <c r="M264"/>
      <c r="N264"/>
    </row>
    <row r="265" spans="3:14">
      <c r="C265"/>
      <c r="D265"/>
      <c r="F265" s="3"/>
      <c r="G265" s="3"/>
      <c r="H265" s="3"/>
    </row>
    <row r="266" spans="3:14">
      <c r="C266"/>
      <c r="D266"/>
      <c r="F266" s="3"/>
      <c r="G266" s="3"/>
      <c r="H266" s="3"/>
    </row>
    <row r="267" spans="3:14">
      <c r="C267"/>
      <c r="D267"/>
      <c r="F267" s="3"/>
      <c r="G267" s="3"/>
      <c r="H267" s="3"/>
    </row>
    <row r="268" spans="3:14">
      <c r="C268"/>
      <c r="D268"/>
      <c r="F268" s="3"/>
      <c r="G268" s="3"/>
      <c r="H268" s="3"/>
    </row>
    <row r="269" spans="3:14">
      <c r="C269"/>
      <c r="D269"/>
      <c r="F269" s="3"/>
      <c r="G269" s="3"/>
      <c r="H269" s="3"/>
    </row>
    <row r="270" spans="3:14">
      <c r="C270"/>
      <c r="D270"/>
      <c r="F270" s="3"/>
      <c r="G270" s="3"/>
      <c r="H270" s="3"/>
    </row>
    <row r="271" spans="3:14">
      <c r="C271"/>
      <c r="D271"/>
      <c r="F271" s="3"/>
      <c r="G271" s="3"/>
      <c r="H271" s="3"/>
    </row>
    <row r="272" spans="3:14">
      <c r="C272"/>
      <c r="D272"/>
      <c r="F272" s="3"/>
      <c r="G272" s="3"/>
      <c r="H272" s="3"/>
    </row>
    <row r="273" spans="3:8">
      <c r="C273"/>
      <c r="D273"/>
      <c r="F273" s="3"/>
      <c r="G273" s="3"/>
      <c r="H273" s="3"/>
    </row>
    <row r="274" spans="3:8">
      <c r="C274"/>
      <c r="D274"/>
      <c r="F274" s="3"/>
      <c r="G274" s="3"/>
      <c r="H274" s="3"/>
    </row>
    <row r="275" spans="3:8">
      <c r="C275"/>
      <c r="D275"/>
      <c r="F275" s="3"/>
      <c r="G275" s="3"/>
      <c r="H275" s="3"/>
    </row>
    <row r="276" spans="3:8">
      <c r="C276"/>
      <c r="D276"/>
      <c r="F276" s="3"/>
      <c r="G276" s="3"/>
      <c r="H276" s="3"/>
    </row>
    <row r="277" spans="3:8">
      <c r="C277"/>
      <c r="D277"/>
      <c r="F277" s="3"/>
      <c r="G277" s="3"/>
      <c r="H277" s="3"/>
    </row>
    <row r="278" spans="3:8">
      <c r="C278"/>
      <c r="D278"/>
      <c r="F278" s="3"/>
      <c r="G278" s="3"/>
      <c r="H278" s="3"/>
    </row>
    <row r="279" spans="3:8">
      <c r="C279"/>
      <c r="D279"/>
      <c r="F279" s="3"/>
      <c r="G279" s="3"/>
      <c r="H279" s="3"/>
    </row>
    <row r="280" spans="3:8">
      <c r="C280"/>
      <c r="D280"/>
      <c r="F280" s="3"/>
      <c r="G280" s="3"/>
      <c r="H280" s="3"/>
    </row>
    <row r="281" spans="3:8">
      <c r="C281"/>
      <c r="D281"/>
      <c r="F281" s="3"/>
      <c r="G281" s="3"/>
      <c r="H281" s="3"/>
    </row>
    <row r="282" spans="3:8">
      <c r="C282"/>
      <c r="D282"/>
      <c r="F282" s="3"/>
      <c r="G282" s="3"/>
      <c r="H282" s="3"/>
    </row>
    <row r="283" spans="3:8">
      <c r="C283"/>
      <c r="D283"/>
      <c r="F283" s="3"/>
      <c r="G283" s="3"/>
      <c r="H283" s="3"/>
    </row>
    <row r="284" spans="3:8">
      <c r="C284"/>
      <c r="D284"/>
      <c r="F284" s="3"/>
      <c r="G284" s="3"/>
      <c r="H284" s="3"/>
    </row>
    <row r="285" spans="3:8">
      <c r="C285"/>
      <c r="D285"/>
      <c r="F285" s="3"/>
      <c r="G285" s="3"/>
      <c r="H285" s="3"/>
    </row>
    <row r="286" spans="3:8">
      <c r="C286"/>
      <c r="D286"/>
      <c r="F286" s="3"/>
      <c r="G286" s="3"/>
      <c r="H286" s="3"/>
    </row>
    <row r="287" spans="3:8">
      <c r="C287"/>
      <c r="D287"/>
      <c r="F287" s="3"/>
      <c r="G287" s="3"/>
      <c r="H287" s="3"/>
    </row>
    <row r="288" spans="3:8">
      <c r="C288"/>
      <c r="D288"/>
      <c r="F288" s="3"/>
      <c r="G288" s="3"/>
      <c r="H288" s="3"/>
    </row>
    <row r="289" spans="3:8">
      <c r="C289"/>
      <c r="D289"/>
      <c r="F289" s="3"/>
      <c r="G289" s="3"/>
      <c r="H289" s="3"/>
    </row>
    <row r="290" spans="3:8">
      <c r="C290"/>
      <c r="D290"/>
      <c r="F290" s="3"/>
      <c r="G290" s="3"/>
      <c r="H290" s="3"/>
    </row>
    <row r="291" spans="3:8">
      <c r="C291"/>
      <c r="D291"/>
      <c r="F291" s="3"/>
      <c r="G291" s="3"/>
      <c r="H291" s="3"/>
    </row>
    <row r="292" spans="3:8">
      <c r="C292"/>
      <c r="D292"/>
      <c r="F292" s="3"/>
      <c r="G292" s="3"/>
      <c r="H292" s="3"/>
    </row>
    <row r="293" spans="3:8">
      <c r="C293"/>
      <c r="D293"/>
      <c r="F293" s="3"/>
      <c r="G293" s="3"/>
      <c r="H293" s="3"/>
    </row>
    <row r="294" spans="3:8">
      <c r="C294"/>
      <c r="D294"/>
      <c r="F294" s="3"/>
      <c r="G294" s="3"/>
      <c r="H294" s="3"/>
    </row>
    <row r="295" spans="3:8">
      <c r="C295"/>
    </row>
    <row r="296" spans="3:8">
      <c r="C296"/>
    </row>
    <row r="297" spans="3:8">
      <c r="C297"/>
    </row>
    <row r="298" spans="3:8">
      <c r="C298"/>
    </row>
    <row r="299" spans="3:8">
      <c r="C299"/>
    </row>
    <row r="300" spans="3:8">
      <c r="C300"/>
    </row>
    <row r="301" spans="3:8">
      <c r="C301"/>
    </row>
    <row r="302" spans="3:8">
      <c r="C302"/>
    </row>
    <row r="303" spans="3:8">
      <c r="C303"/>
    </row>
    <row r="304" spans="3:8">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row r="345" spans="3:3">
      <c r="C345"/>
    </row>
    <row r="346" spans="3:3">
      <c r="C346"/>
    </row>
    <row r="347" spans="3:3">
      <c r="C347"/>
    </row>
    <row r="348" spans="3:3">
      <c r="C348"/>
    </row>
    <row r="349" spans="3:3">
      <c r="C349"/>
    </row>
    <row r="350" spans="3:3">
      <c r="C350"/>
    </row>
    <row r="351" spans="3:3">
      <c r="C351"/>
    </row>
    <row r="352" spans="3:3">
      <c r="C352"/>
    </row>
    <row r="353" spans="3:3">
      <c r="C353"/>
    </row>
    <row r="354" spans="3:3">
      <c r="C354"/>
    </row>
  </sheetData>
  <dataValidations count="1">
    <dataValidation type="list" allowBlank="1" showInputMessage="1" showErrorMessage="1" sqref="E3:E217" xr:uid="{D8932378-A07C-4B62-9E4B-3A2AEB6862B3}">
      <formula1>$K$3:$K$27</formula1>
    </dataValidation>
  </dataValidations>
  <pageMargins left="0.7" right="0.7" top="0.75" bottom="0.75" header="0.3" footer="0.3"/>
  <pageSetup paperSize="9" orientation="portrait" horizontalDpi="300" verticalDpi="300" r:id="rId1"/>
  <legacy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6316E-C8CE-4BDB-8FD6-3B4366E3AACB}">
  <sheetPr codeName="Sheet4"/>
  <dimension ref="A1:B29"/>
  <sheetViews>
    <sheetView workbookViewId="0">
      <selection activeCell="E5" sqref="E5"/>
    </sheetView>
  </sheetViews>
  <sheetFormatPr defaultRowHeight="15.75"/>
  <cols>
    <col min="1" max="1" width="41" style="45" customWidth="1"/>
  </cols>
  <sheetData>
    <row r="1" spans="1:2" ht="47.25">
      <c r="A1" s="45" t="s">
        <v>108</v>
      </c>
      <c r="B1" t="str" cm="1">
        <f t="array" aca="1" ref="B1" ca="1">INDEX(A1:A29,RANDBETWEEN(1,COUNTA(A1:A29)))</f>
        <v>"When I dare to be powerful, to use my strength in the service of my vision, then it becomes less and less important whether I am afraid." — Audre Lorde, Poet &amp; Civil Rights Activist</v>
      </c>
    </row>
    <row r="2" spans="1:2" ht="63">
      <c r="A2" s="45" t="s">
        <v>109</v>
      </c>
      <c r="B2" t="s">
        <v>107</v>
      </c>
    </row>
    <row r="3" spans="1:2" ht="47.25">
      <c r="A3" s="45" t="s">
        <v>110</v>
      </c>
    </row>
    <row r="4" spans="1:2" ht="63">
      <c r="A4" s="45" t="s">
        <v>111</v>
      </c>
    </row>
    <row r="5" spans="1:2" ht="63">
      <c r="A5" s="45" t="s">
        <v>112</v>
      </c>
    </row>
    <row r="6" spans="1:2" ht="47.25">
      <c r="A6" s="45" t="s">
        <v>113</v>
      </c>
    </row>
    <row r="7" spans="1:2" ht="31.5">
      <c r="A7" s="45" t="s">
        <v>114</v>
      </c>
    </row>
    <row r="8" spans="1:2" ht="47.25">
      <c r="A8" s="45" t="s">
        <v>115</v>
      </c>
    </row>
    <row r="9" spans="1:2" ht="63">
      <c r="A9" s="45" t="s">
        <v>116</v>
      </c>
    </row>
    <row r="10" spans="1:2" ht="63">
      <c r="A10" s="45" t="s">
        <v>117</v>
      </c>
    </row>
    <row r="11" spans="1:2" ht="47.25">
      <c r="A11" s="45" t="s">
        <v>118</v>
      </c>
    </row>
    <row r="12" spans="1:2" ht="63">
      <c r="A12" s="45" t="s">
        <v>119</v>
      </c>
    </row>
    <row r="13" spans="1:2" ht="63">
      <c r="A13" s="45" t="s">
        <v>120</v>
      </c>
    </row>
    <row r="14" spans="1:2" ht="31.5">
      <c r="A14" s="45" t="s">
        <v>121</v>
      </c>
    </row>
    <row r="15" spans="1:2" ht="31.5">
      <c r="A15" s="45" t="s">
        <v>122</v>
      </c>
    </row>
    <row r="16" spans="1:2" ht="31.5">
      <c r="A16" s="45" t="s">
        <v>123</v>
      </c>
    </row>
    <row r="17" spans="1:1" ht="31.5">
      <c r="A17" s="45" t="s">
        <v>124</v>
      </c>
    </row>
    <row r="18" spans="1:1" ht="47.25">
      <c r="A18" s="45" t="s">
        <v>125</v>
      </c>
    </row>
    <row r="19" spans="1:1" ht="63">
      <c r="A19" s="45" t="s">
        <v>126</v>
      </c>
    </row>
    <row r="20" spans="1:1" ht="47.25">
      <c r="A20" s="45" t="s">
        <v>127</v>
      </c>
    </row>
    <row r="21" spans="1:1" ht="31.5">
      <c r="A21" s="45" t="s">
        <v>128</v>
      </c>
    </row>
    <row r="22" spans="1:1" ht="47.25">
      <c r="A22" s="45" t="s">
        <v>129</v>
      </c>
    </row>
    <row r="23" spans="1:1" ht="31.5">
      <c r="A23" s="45" t="s">
        <v>130</v>
      </c>
    </row>
    <row r="24" spans="1:1" ht="47.25">
      <c r="A24" s="45" t="s">
        <v>131</v>
      </c>
    </row>
    <row r="25" spans="1:1" ht="47.25">
      <c r="A25" s="45" t="s">
        <v>132</v>
      </c>
    </row>
    <row r="26" spans="1:1" ht="31.5">
      <c r="A26" s="45" t="s">
        <v>133</v>
      </c>
    </row>
    <row r="27" spans="1:1" ht="31.5">
      <c r="A27" s="45" t="s">
        <v>134</v>
      </c>
    </row>
    <row r="28" spans="1:1" ht="47.25">
      <c r="A28" s="45" t="s">
        <v>135</v>
      </c>
    </row>
    <row r="29" spans="1:1" ht="63">
      <c r="A29" s="45" t="s">
        <v>136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0a8bbdea-2929-4710-a40b-79bb05ee5f8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0331E5B0D21349B9B2AD7FF794A4DE" ma:contentTypeVersion="5" ma:contentTypeDescription="Create a new document." ma:contentTypeScope="" ma:versionID="6addb1151fc3569509ef6f8b9269f991">
  <xsd:schema xmlns:xsd="http://www.w3.org/2001/XMLSchema" xmlns:xs="http://www.w3.org/2001/XMLSchema" xmlns:p="http://schemas.microsoft.com/office/2006/metadata/properties" xmlns:ns3="0a8bbdea-2929-4710-a40b-79bb05ee5f82" targetNamespace="http://schemas.microsoft.com/office/2006/metadata/properties" ma:root="true" ma:fieldsID="210446a2d45fd54720035edaffda06c2" ns3:_="">
    <xsd:import namespace="0a8bbdea-2929-4710-a40b-79bb05ee5f8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8bbdea-2929-4710-a40b-79bb05ee5f8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A94D03-3A36-42B5-A6F2-5072AED4FBF7}">
  <ds:schemaRefs>
    <ds:schemaRef ds:uri="http://schemas.microsoft.com/DataMashup"/>
  </ds:schemaRefs>
</ds:datastoreItem>
</file>

<file path=customXml/itemProps2.xml><?xml version="1.0" encoding="utf-8"?>
<ds:datastoreItem xmlns:ds="http://schemas.openxmlformats.org/officeDocument/2006/customXml" ds:itemID="{9E05189D-A26C-4590-964C-B5BCDC72DB49}">
  <ds:schemaRefs>
    <ds:schemaRef ds:uri="http://purl.org/dc/elements/1.1/"/>
    <ds:schemaRef ds:uri="http://purl.org/dc/terms/"/>
    <ds:schemaRef ds:uri="http://www.w3.org/XML/1998/namespace"/>
    <ds:schemaRef ds:uri="http://purl.org/dc/dcmityp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0a8bbdea-2929-4710-a40b-79bb05ee5f82"/>
  </ds:schemaRefs>
</ds:datastoreItem>
</file>

<file path=customXml/itemProps3.xml><?xml version="1.0" encoding="utf-8"?>
<ds:datastoreItem xmlns:ds="http://schemas.openxmlformats.org/officeDocument/2006/customXml" ds:itemID="{A3F8EF85-5754-418E-9AC3-04AB65F0B0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8bbdea-2929-4710-a40b-79bb05ee5f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5DE94AA-AADF-4601-BA7F-26E4871B88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PivotTables</vt:lpstr>
      <vt:lpstr>Transactions END</vt:lpstr>
      <vt:lpstr>Quotes</vt:lpstr>
      <vt:lpstr>PivotTables!Extract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Dave Joshua Virtudazo</cp:lastModifiedBy>
  <cp:lastPrinted>2026-05-21T10:17:31Z</cp:lastPrinted>
  <dcterms:created xsi:type="dcterms:W3CDTF">2026-01-09T00:57:35Z</dcterms:created>
  <dcterms:modified xsi:type="dcterms:W3CDTF">2026-05-25T09:57:31Z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0x0101007C0331E5B0D21349B9B2AD7FF794A4DE</vt:lpwstr>
  </property>
</Properties>
</file>